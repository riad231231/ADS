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rties 2026" sheetId="1" r:id="rId4"/>
    <sheet state="visible" name="Sorties 2025" sheetId="2" r:id="rId5"/>
    <sheet state="visible" name="Sorties 2024" sheetId="3" r:id="rId6"/>
    <sheet state="visible" name="Sorties 2023" sheetId="4" r:id="rId7"/>
    <sheet state="visible" name="Sorties 2022" sheetId="5" r:id="rId8"/>
    <sheet state="visible" name="Sorties 2021" sheetId="6" r:id="rId9"/>
    <sheet state="visible" name="Sorties 2020" sheetId="7" r:id="rId10"/>
    <sheet state="visible" name="Sorties 2019" sheetId="8" r:id="rId11"/>
    <sheet state="visible" name="Sorties 2018" sheetId="9" r:id="rId12"/>
    <sheet state="visible" name="Sorties 2017" sheetId="10" r:id="rId13"/>
    <sheet state="visible" name="Sorties 2016" sheetId="11" r:id="rId14"/>
  </sheets>
  <definedNames>
    <definedName hidden="1" localSheetId="1" name="_xlnm._FilterDatabase">'Sorties 2025'!$A$2:$Z$41</definedName>
  </definedNames>
  <calcPr/>
</workbook>
</file>

<file path=xl/sharedStrings.xml><?xml version="1.0" encoding="utf-8"?>
<sst xmlns="http://schemas.openxmlformats.org/spreadsheetml/2006/main" count="1929" uniqueCount="1125">
  <si>
    <t>Total Jours</t>
  </si>
  <si>
    <t>Pour être reportée dans ce tableau une sortie doit avoir été annoncée et au moins 2 membres des ADS doivent y avoir participé. 
On ajoute la sortie même si cela n'a pas volé et pour une raison d'éthique il est préférable que les vols en sortie ADS soient déclarés à la CFD au club ADS</t>
  </si>
  <si>
    <t xml:space="preserve"> </t>
  </si>
  <si>
    <t>DATE</t>
  </si>
  <si>
    <t>SITE</t>
  </si>
  <si>
    <r>
      <rPr>
        <b/>
        <sz val="11.0"/>
      </rPr>
      <t xml:space="preserve">Initiateur de la sortie </t>
    </r>
    <r>
      <rPr>
        <b/>
        <color rgb="FFFF0000"/>
        <sz val="11.0"/>
      </rPr>
      <t>à l'origine sur youmethem</t>
    </r>
  </si>
  <si>
    <t>nb d'ADS</t>
  </si>
  <si>
    <t>nb de jours</t>
  </si>
  <si>
    <t>Commentaires</t>
  </si>
  <si>
    <t>20/03/2026</t>
  </si>
  <si>
    <t>Rigny le ferron</t>
  </si>
  <si>
    <t>jean-marc</t>
  </si>
  <si>
    <t xml:space="preserve">Thermiques de printemps pénibles en début d'aprem, cela s'adouci à partir de 15h30 </t>
  </si>
  <si>
    <t>19/03/2026</t>
  </si>
  <si>
    <t>Thomas D</t>
  </si>
  <si>
    <t>Très chouette Rigny un peu fort malgré tout.</t>
  </si>
  <si>
    <t>14/03/2026</t>
  </si>
  <si>
    <t xml:space="preserve">Octeville </t>
  </si>
  <si>
    <t>Anouar</t>
  </si>
  <si>
    <t>Très belle journée</t>
  </si>
  <si>
    <t xml:space="preserve">St Pierre en Port </t>
  </si>
  <si>
    <t>Journée exceptionnelle propice au mythique AR Paluel-Octeville</t>
  </si>
  <si>
    <t>Bonneil</t>
  </si>
  <si>
    <t>François</t>
  </si>
  <si>
    <t>Très belle journée. Pas bon pour la planète mais une belle session avec 20 à 25 pilotes !</t>
  </si>
  <si>
    <t>27/02/2026</t>
  </si>
  <si>
    <t>Looze</t>
  </si>
  <si>
    <t>Thibaut</t>
  </si>
  <si>
    <t>belle journée. des ploufs et de beaux cycles dont le meilleur en toute fin de journée qui a profité aux 2 qui y croyaient encore.</t>
  </si>
  <si>
    <t>Grenois</t>
  </si>
  <si>
    <t>Très belle journée. Du vent juste qu'il faut, du soleil, des potes ADS et Migs.</t>
  </si>
  <si>
    <t>Brion</t>
  </si>
  <si>
    <t>du soleil &amp; du vent. qques migs avec nous</t>
  </si>
  <si>
    <t>17/01/2026</t>
  </si>
  <si>
    <t>St Martin sur armançon</t>
  </si>
  <si>
    <t>Journée pas top : très humide, très peu de vent. Mais ça a volé un peu.</t>
  </si>
  <si>
    <t>Octeville</t>
  </si>
  <si>
    <t>belle journée de vol froide et lumineuse</t>
  </si>
  <si>
    <t>Eaux-puiseaux</t>
  </si>
  <si>
    <t>Thom D</t>
  </si>
  <si>
    <r>
      <rPr>
        <b/>
        <sz val="11.0"/>
      </rPr>
      <t xml:space="preserve">Initiateur de la sortie </t>
    </r>
    <r>
      <rPr>
        <b/>
        <color rgb="FFFF0000"/>
        <sz val="11.0"/>
      </rPr>
      <t>à l'origine sur youmethem</t>
    </r>
  </si>
  <si>
    <t>Rigny le Ferron</t>
  </si>
  <si>
    <t>Noël</t>
  </si>
  <si>
    <t>Initialement prévue à Bar-sur-Aube, la sortie s'est déroulée à Rigny le Ferron. Pas de plafond, étagement difficile, vols relativement courts</t>
  </si>
  <si>
    <t xml:space="preserve">Grenois </t>
  </si>
  <si>
    <t xml:space="preserve">Fabien </t>
  </si>
  <si>
    <t xml:space="preserve">belle journée. vent marqué. tout le monde a volé, certains en fin de journée </t>
  </si>
  <si>
    <t>Ste marguerite / mer</t>
  </si>
  <si>
    <t>jmg</t>
  </si>
  <si>
    <t>froid et beau. vols toute l'aprem'</t>
  </si>
  <si>
    <t>Belle journée thermique. plaf vers 1300</t>
  </si>
  <si>
    <t>Jean-Marc</t>
  </si>
  <si>
    <t>un peu SO mais tout le monde vol/gonfle à satiété</t>
  </si>
  <si>
    <t>Belle journée mais le vent n'est pas axé mais travers nord</t>
  </si>
  <si>
    <t>Belle journée. Conditions désagréables jusqu'à 15H00. Plaf à moins de 700m. Une fin d'ap.midi excellente.</t>
  </si>
  <si>
    <t>Stage Waga school</t>
  </si>
  <si>
    <t>Tom</t>
  </si>
  <si>
    <t>Encore une jolie semaine à la dune!</t>
  </si>
  <si>
    <t xml:space="preserve">très belle journée. </t>
  </si>
  <si>
    <t>Philippe Gue</t>
  </si>
  <si>
    <t>Belle journée. aerologie un peu mouventée jusqu'à 17H00. Plaf max de 640m en fin d'ap.midi.</t>
  </si>
  <si>
    <t>Saint Martin sur armançon</t>
  </si>
  <si>
    <t>belle journée. du monde et des thermiques. quelques extractions cross. plaf à 1800m</t>
  </si>
  <si>
    <t>Ap.midi bien sympa. Des thermiques pêchus. Il fallait abandonner le thermique pour ne pas emplafonner la zone.</t>
  </si>
  <si>
    <t>Journée mitigée. Faible puis fort. Beaucoup de monde mais pas d'incident.</t>
  </si>
  <si>
    <t>Jean-marc</t>
  </si>
  <si>
    <t>belle journée mais etonnament turbulent pour la saison</t>
  </si>
  <si>
    <t>06/09 au 14/09</t>
  </si>
  <si>
    <t>St André</t>
  </si>
  <si>
    <t>Le Zèbre</t>
  </si>
  <si>
    <t>Vols tous les jours (sauf le dernier) mais sans journée exceptionnelle</t>
  </si>
  <si>
    <t>13/10/25</t>
  </si>
  <si>
    <t>Bar sur Aube</t>
  </si>
  <si>
    <t>Conditions annoncées fortes, mais au final très fréquentables. Peu de plaf, très peu de pilotes sur site (maxi 7)</t>
  </si>
  <si>
    <t>14/04/2025</t>
  </si>
  <si>
    <t>Vincelles</t>
  </si>
  <si>
    <t>Journée sympa avec Vincent.D et François.A des Migs. Découverte du site. Pas d'attéro. Site très thermique.</t>
  </si>
  <si>
    <t>15/06/2025</t>
  </si>
  <si>
    <t>Noel</t>
  </si>
  <si>
    <t xml:space="preserve">belle journée a la mer. vent bien axé. avons attendu 1h qu'il baisse. forcit vers 16h. pres de 2h30 de vol pour tous. </t>
  </si>
  <si>
    <t>15/08/2025</t>
  </si>
  <si>
    <t>Port à Binson</t>
  </si>
  <si>
    <t>Ap.midi sympa. Tout le monde vole. Pas de gros plaf.</t>
  </si>
  <si>
    <t>16/10/2025</t>
  </si>
  <si>
    <t>Belle journée de vol mais qui a malheureusement manqué de soleil. Tout le monde vole son compte.</t>
  </si>
  <si>
    <t>18/02/2025</t>
  </si>
  <si>
    <t>Bar-sur-Aube</t>
  </si>
  <si>
    <t>Fabien</t>
  </si>
  <si>
    <t>2 vols chacun sans beaucoup de plafond. Froid mais tout le monde avait la banane en partant et c'est le principal</t>
  </si>
  <si>
    <t>18/03/2025</t>
  </si>
  <si>
    <t>Saint-Martin sur armançon</t>
  </si>
  <si>
    <t xml:space="preserve">François </t>
  </si>
  <si>
    <t>Belle journée malgré un arbrissage sans conséquences heureusement.</t>
  </si>
  <si>
    <t>18/04/2025</t>
  </si>
  <si>
    <t>Très belle journée avec des cross, des vols locaux, des belles conditions. On ferme le site vers 19H30</t>
  </si>
  <si>
    <t>19/04/2025</t>
  </si>
  <si>
    <t xml:space="preserve">Belle journée. quelques ploufs et vols sympas. après le départ de la couverture nuageuse, quelques Thermique </t>
  </si>
  <si>
    <t>19/05/2025</t>
  </si>
  <si>
    <t>Journée très proche de la loose totale. Seul 1 vol de 35 minutes en fin de journée pour François. Sinon chou blanc.</t>
  </si>
  <si>
    <t>19/09/2025</t>
  </si>
  <si>
    <t>Journée très ensolleillée mais pas de plafond, donc pas d'étagement et beaucoup de voiles dans un espace "réduit". Tout le monde a volé</t>
  </si>
  <si>
    <t>20/03/2025</t>
  </si>
  <si>
    <t>Superbe journée sur ce site très bucolique, certains courageux bien équipés et compétants en ont profité pour récupérer l'aile, sinon beau plaf à 1100m même après l'arrivé du voile en alti</t>
  </si>
  <si>
    <t>20/05/2025</t>
  </si>
  <si>
    <t>Commes</t>
  </si>
  <si>
    <t>belle journée a la mer. vent bien axé. faiblit vers 17h. pres de 2h de vol pour tous. ZRT port en bessin inactive</t>
  </si>
  <si>
    <t>22/01/2025</t>
  </si>
  <si>
    <t>grenois</t>
  </si>
  <si>
    <t>tom</t>
  </si>
  <si>
    <t xml:space="preserve">belle journée </t>
  </si>
  <si>
    <t>23/12</t>
  </si>
  <si>
    <t>Rigny</t>
  </si>
  <si>
    <t>travers, on a voleté</t>
  </si>
  <si>
    <t>24 mai au 1er juin</t>
  </si>
  <si>
    <t>St Hilaire</t>
  </si>
  <si>
    <t>Enfin une semaine magnifique ! beaucoup de sites, bonne ambiance</t>
  </si>
  <si>
    <t>24/07/2025</t>
  </si>
  <si>
    <t>St Pierre en port</t>
  </si>
  <si>
    <t>1 vol d'environ 2h45 chacun, bloqués à la traversée de Yport car vent trop travers gauche.</t>
  </si>
  <si>
    <t>25/03/2025</t>
  </si>
  <si>
    <t>Quend</t>
  </si>
  <si>
    <t>belle journée malgré vent légérement travers. accident de Clément P</t>
  </si>
  <si>
    <t>26/05/2025</t>
  </si>
  <si>
    <t>Véron</t>
  </si>
  <si>
    <t>Journée mitigée, aérologie compliquée. Tout le monde a volé plus ou moins</t>
  </si>
  <si>
    <t>26/09 au 05/10</t>
  </si>
  <si>
    <t>Algodonales</t>
  </si>
  <si>
    <t xml:space="preserve">magnifique semaine, volé presque tous les jours, ambiance de folie </t>
  </si>
  <si>
    <t>27/03/2025</t>
  </si>
  <si>
    <t>Journée ensoleillée, assez turbulent, beaucoup de voiles en l'air par moments, vols de plusieurs dizaines de minutes</t>
  </si>
  <si>
    <t>28 juin au 12 juillet</t>
  </si>
  <si>
    <t>Le grand bornand</t>
  </si>
  <si>
    <t>la mto 2025 continue de nous ravir, vol presque tous les jours ! 26h de vol pour Eric, belle quinzaine avec pas mal de femmes</t>
  </si>
  <si>
    <t>29/03/2025</t>
  </si>
  <si>
    <t>super journée, on arrive à 14h00 et on vole jusqu'à la nuit.</t>
  </si>
  <si>
    <t>8-11/05/2025</t>
  </si>
  <si>
    <t xml:space="preserve">Auvergne </t>
  </si>
  <si>
    <t>jjk</t>
  </si>
  <si>
    <t xml:space="preserve">météo compliquée avec pluie et vent fort par moments, mais ça aura volé 3 jours pour certains. </t>
  </si>
  <si>
    <r>
      <rPr>
        <b/>
        <sz val="11.0"/>
      </rPr>
      <t xml:space="preserve">Initiateur de la sortie </t>
    </r>
    <r>
      <rPr>
        <b/>
        <color rgb="FFFF0000"/>
        <sz val="11.0"/>
      </rPr>
      <t>à l'origine sur youmethem</t>
    </r>
  </si>
  <si>
    <t>Bar sur aube</t>
  </si>
  <si>
    <t xml:space="preserve">Pas de plafond mais des vols sympa tout de même </t>
  </si>
  <si>
    <t>23/10/2024</t>
  </si>
  <si>
    <t xml:space="preserve">Pas de plaf mais une belle journée de vol en local </t>
  </si>
  <si>
    <t>20/10/24</t>
  </si>
  <si>
    <t xml:space="preserve">Noël </t>
  </si>
  <si>
    <t xml:space="preserve">Belle journée pour tout le monde dans un bocal surpeuplé (40 ailes) sans accident </t>
  </si>
  <si>
    <t>du 15/10 au 23/10</t>
  </si>
  <si>
    <t>Andalousie</t>
  </si>
  <si>
    <t>on a volé tous les jours sauf 1, conditions moyennes pas habituelles</t>
  </si>
  <si>
    <t>Thomas D.</t>
  </si>
  <si>
    <t>Malay</t>
  </si>
  <si>
    <t>Journée à oublier; soleil mais couverture nuageuse importante, pas de thermique important. Que des tous petits vols</t>
  </si>
  <si>
    <t>du 1/10 au 8/10</t>
  </si>
  <si>
    <t>on a volé tous les jours, excellente ambiance</t>
  </si>
  <si>
    <t>28/9/24</t>
  </si>
  <si>
    <t>Carton plein: soleil, conditions idéales, site magnifique</t>
  </si>
  <si>
    <t>21/09/2024</t>
  </si>
  <si>
    <t>Trop fort en arrivant  vers 15h au retour de St André mais cela a très fortement faibli et très rapidement vers 18h et donc cela s'est terminé par un Plouf de 4 à 5 mn chacun.</t>
  </si>
  <si>
    <t>du 14/09 au 21/09</t>
  </si>
  <si>
    <t>St André Les Alpes</t>
  </si>
  <si>
    <t>Une semaine moyenne au niveau mto mais on a volé tous les jours et excellente ambiance</t>
  </si>
  <si>
    <t>du 07/09 au 14/09</t>
  </si>
  <si>
    <t>Une semaine moyenne au niveau mto mais on a optimisé au mieux pour sortir notre épingle du jeu, on a bougé a st vincent 2 jours</t>
  </si>
  <si>
    <t>13/09/2024</t>
  </si>
  <si>
    <t>Très belle 1/2 journée. Les conditions s'installent un peu tard mais très beau créneau de 14H00 à 17H30</t>
  </si>
  <si>
    <t>Craonnelle</t>
  </si>
  <si>
    <t>Vraiment pas terrible malheureusement. Cycles très courts. Très fort ou faiblard...</t>
  </si>
  <si>
    <t>29/08/2024</t>
  </si>
  <si>
    <t>Une journé magnifique. Cartons pleins pour tous.</t>
  </si>
  <si>
    <t>22/08/2024</t>
  </si>
  <si>
    <t>Grauves</t>
  </si>
  <si>
    <t>Pas de gros plaf, des conditions très toniques et pas forcément toujours agréables. Mais ça a bien volé.</t>
  </si>
  <si>
    <t>20/08/2024</t>
  </si>
  <si>
    <t>Journée très mitigée. Ca met longtemps à s'installer. On en profite pour faire un bon coup de nettoyage au déco et sur le chemin d'accès avec Thomas.D</t>
  </si>
  <si>
    <t>Eaux puiseaux</t>
  </si>
  <si>
    <t>Jean Marc</t>
  </si>
  <si>
    <t>Belle journée cross &amp; vol de site</t>
  </si>
  <si>
    <t>juillet 2 eme semaine</t>
  </si>
  <si>
    <t>Le grand Bornand</t>
  </si>
  <si>
    <t>Philippe/Yann/le zebre</t>
  </si>
  <si>
    <t>enfin une semaine 2024 où çà vole tous les jours !</t>
  </si>
  <si>
    <t>juillet 1ere semaine</t>
  </si>
  <si>
    <t>année 2024 continue à être merdique, on a volé quand même</t>
  </si>
  <si>
    <t>Noël/jean jacques/clement/olivier</t>
  </si>
  <si>
    <t>Bien volés, vent forcissant dans la journée , moules frites le soir</t>
  </si>
  <si>
    <t xml:space="preserve">Très belle journée. De beaux vols pour tout le monde avec de très bonnes moules frites pour clôturer la journée </t>
  </si>
  <si>
    <t>07.06/24</t>
  </si>
  <si>
    <t>equihen/quend</t>
  </si>
  <si>
    <t>Thomas.D</t>
  </si>
  <si>
    <t xml:space="preserve">super journée,  vol en mini voiles principalement </t>
  </si>
  <si>
    <t xml:space="preserve">st hilaire </t>
  </si>
  <si>
    <t>Yann</t>
  </si>
  <si>
    <t xml:space="preserve">magnifique journée malgré le vent un peu trop présent </t>
  </si>
  <si>
    <t>25-31 mai</t>
  </si>
  <si>
    <t>Le Zebre/Fabien</t>
  </si>
  <si>
    <t>Très belle journée du mardi, belles journées du dimanche et mercredi, samedi acceptable. Pas de vol lundi, jeudi et vendredi</t>
  </si>
  <si>
    <t>mai</t>
  </si>
  <si>
    <t>Annecy</t>
  </si>
  <si>
    <t xml:space="preserve">semaine mitigée </t>
  </si>
  <si>
    <t>13/05/2024</t>
  </si>
  <si>
    <t>Belle journée: un peu faible à l'arrivée qui a forci par la suite. Tout le monde a fait 3 vols</t>
  </si>
  <si>
    <t>Belle journée assez tonique en début d'ap.midi. Ca devient plus homogène à partir de 16H00. Des vols sympas pour les uns et les autres.</t>
  </si>
  <si>
    <t>Bar Sur Aube</t>
  </si>
  <si>
    <t>belle journée ensoleillé,  vent bien axé avec léger travers gauche. Fort a notre arrivée, ça baisse vers 14h et ça volera en local ou en cross tout l'aprem sans sketch.</t>
  </si>
  <si>
    <t>yann</t>
  </si>
  <si>
    <t xml:space="preserve">journée bien moins bonne que prévue. Bâche tardive qui aura permis quelques vols tout de même. La journée se termine malheureusement par un accident à l'atterrissage, une aile accroche un arbre au bout de l'atterrissage, vertèbres fracturées pour le pilote </t>
  </si>
  <si>
    <t>23/04/2024</t>
  </si>
  <si>
    <t>Journée mitigée à Malay, possibilités de cross limitées, période vents de travers. Plusieurs incidents dont la fracture de JMG et des voiles dans les arbres/bosquets.</t>
  </si>
  <si>
    <t>20/04/2024</t>
  </si>
  <si>
    <t>Vent de NNO - Pas sain même si ça vole un peu</t>
  </si>
  <si>
    <t>18/04/2024</t>
  </si>
  <si>
    <t>Une belle session Malay. Tout le monde vole bien.</t>
  </si>
  <si>
    <t>13/04/2024</t>
  </si>
  <si>
    <t>Courcouronnes</t>
  </si>
  <si>
    <t>Une session gonflage très sympa. Du Courcouronnes habituel ;-)</t>
  </si>
  <si>
    <t>25/03/2024</t>
  </si>
  <si>
    <t>Nous arrivons un peu plus tard que prévu, et le vent se renforce d'un coup en 30 mn. Résultat personne ne volera plus de 30 mn. Ca devient en effet très fort et très turbulent.</t>
  </si>
  <si>
    <t>14/03/2024</t>
  </si>
  <si>
    <t>Grenois / Brion</t>
  </si>
  <si>
    <t>6 ADS à Grenois et 3 à Brion. Une très belle journée à Grenois. Plus fort que prévu mais plus de soleil aussi. Journée correcte à Brion.</t>
  </si>
  <si>
    <t>Jean Philippe</t>
  </si>
  <si>
    <t>Journée cross pour beaucoup. Vent bon et bien axé pour voler en soaring et/ou crosser. Se renforce en fin de journée</t>
  </si>
  <si>
    <t>mars/avril</t>
  </si>
  <si>
    <t>ambiance groupe géniale, on a optimisé aux mieux et bien volé</t>
  </si>
  <si>
    <t>Criel</t>
  </si>
  <si>
    <t>Belle journée en bord de mer. Soutenu au deco, juste ce qui faut avec Léger travers gauche. vol bras haut à 20km/h vers la centrale,  à 40km/h au retour. Posé plage car aterro ffvl inondé</t>
  </si>
  <si>
    <t xml:space="preserve">Eaux Puiseaux </t>
  </si>
  <si>
    <t xml:space="preserve">Thomas </t>
  </si>
  <si>
    <t>journée qui commence avec de la bruine, début des vols à 14 h00, boueux à souhait mais quand même sympa</t>
  </si>
  <si>
    <t>Belle journée à Rigny sous le soleil mais avec des températures légèrement négatives le matin. Vent idéal en direction et force qui permettra de voler toute la journée et faire des wagas au sol.</t>
  </si>
  <si>
    <t>Sorties longues</t>
  </si>
  <si>
    <t>Sorties journées</t>
  </si>
  <si>
    <r>
      <rPr>
        <b/>
        <sz val="11.0"/>
      </rPr>
      <t xml:space="preserve">Initiateur de la sortie </t>
    </r>
    <r>
      <rPr>
        <b/>
        <color rgb="FFFF0000"/>
        <sz val="11.0"/>
      </rPr>
      <t>à l'origine sur youmethem</t>
    </r>
  </si>
  <si>
    <t>nb jours</t>
  </si>
  <si>
    <t>30/12/23</t>
  </si>
  <si>
    <t>Belle dernière journée de vol de l'année.</t>
  </si>
  <si>
    <t>27/12/2023</t>
  </si>
  <si>
    <t xml:space="preserve">Journée agréable (ensoleillé et pas froide) mais volable jusqu'à 15h avant l'effondrement du vent mais avec une période vent fort juste avant l'extinction. </t>
  </si>
  <si>
    <t>20/12/2023</t>
  </si>
  <si>
    <t>Eaux-Puiseaux</t>
  </si>
  <si>
    <t>Pas la grande journée, pas bien ensoleillée mais certains volent pas mal. Sol bien gras et trempé.</t>
  </si>
  <si>
    <t xml:space="preserve">Superbe journée bien fraîche. Ça a volé de notre arrivée jusqu'à la nuit, en partant du déco du haut ou de celui du bas </t>
  </si>
  <si>
    <t>Lalandelle</t>
  </si>
  <si>
    <t>Vent nickel, force et direction. Mais contrairement aux prévis le soleil n'a pas été présent ne serait-ce qu'une minute. 30 pilotes en tout. Un arbrissage (un nouveau Crécerelles). Tout le monde vole.</t>
  </si>
  <si>
    <t>25/11/23</t>
  </si>
  <si>
    <t>St Pierre de Port</t>
  </si>
  <si>
    <t>Dimitri</t>
  </si>
  <si>
    <t>Vent assez fort, décollage de la plage technique</t>
  </si>
  <si>
    <t>22/11/23</t>
  </si>
  <si>
    <t>Malay le grand</t>
  </si>
  <si>
    <t>Belle journée d'automne. Des thermiques et un peu de soleil.</t>
  </si>
  <si>
    <t>novembre</t>
  </si>
  <si>
    <t>Algodonales Andalousie Espagne</t>
  </si>
  <si>
    <t>le zebre</t>
  </si>
  <si>
    <t>belle semaine</t>
  </si>
  <si>
    <t>24/10/23</t>
  </si>
  <si>
    <t>Très belle journée. 2 à partager le site. ça vole environ 2 heures</t>
  </si>
  <si>
    <t>Journée sympa même si conditions pas évidentes. Vent irrégulier et souvent travers. Tout le monde vole plus ou moins longtemps.</t>
  </si>
  <si>
    <t>septembre</t>
  </si>
  <si>
    <t>st andre semaine 1</t>
  </si>
  <si>
    <t>Dimitri et Yann</t>
  </si>
  <si>
    <t>Une belle ambiance, une belle météo, de beaux vols</t>
  </si>
  <si>
    <t>st andre semaine 2</t>
  </si>
  <si>
    <t>mto pas favorable mais bonne ambiance malgré tout, prolongation pour certains car belle mto mais hécatombe d'accidents dont 3 mortels</t>
  </si>
  <si>
    <t>Belle journée sans être exceptionnelle. Un peu de vols thermiques suivi d'une belle restit.</t>
  </si>
  <si>
    <t>28/08/2023</t>
  </si>
  <si>
    <t>Fécamp</t>
  </si>
  <si>
    <t>Très belle journée. Loreline, Olivier.N, JJ.K et Daniel/M ne connaissaient pas le site et ont beacoup aimé. Fin de journée à siroter une bière en appréciant une assiette de fromages/Charcuteries.</t>
  </si>
  <si>
    <t>22/07/2023</t>
  </si>
  <si>
    <t>Asnan</t>
  </si>
  <si>
    <t xml:space="preserve">Belle journée de cross. Des records perso pulvérisés </t>
  </si>
  <si>
    <t>21/07/2023</t>
  </si>
  <si>
    <t>Clément</t>
  </si>
  <si>
    <t>Arrivée sur place à 9h30. Vent parfaitement orienté qui permettra de voler toute la journée jusqu'au soir et s'amuser en appuis dynamiques sur les falaises.</t>
  </si>
  <si>
    <t>17/07/2023</t>
  </si>
  <si>
    <t>Eaux Puiseaux</t>
  </si>
  <si>
    <t>Journée compliquée jusqu'à 16H30 - 17H00. Puis des départs en cross.</t>
  </si>
  <si>
    <t>15/07/2023</t>
  </si>
  <si>
    <t>Matthieu</t>
  </si>
  <si>
    <t>Arrivée sur place 11h30. Gros travers une bonne partie de l'après-midi. Premiers vols sur les coups de 17h. Dynamique + thermique qui aurait permis de partir en cross si l'heure n'était pas si tardive.</t>
  </si>
  <si>
    <t>le grand bornand S2</t>
  </si>
  <si>
    <t>C'était bien :)</t>
  </si>
  <si>
    <t>24/06/2023</t>
  </si>
  <si>
    <t>le grand bornand S1</t>
  </si>
  <si>
    <t>Philippe</t>
  </si>
  <si>
    <t>13/06/2023</t>
  </si>
  <si>
    <t>Vix</t>
  </si>
  <si>
    <t>Journée compliquée. Grosses rafales, conditions hyper toniques. On vole peu. Non pas parce que ça ne vole pas mais parce que c'est trop violent.</t>
  </si>
  <si>
    <t>Une superbe journée avec du dynamique et thermique en milieu et fin de journée. Vol jusqu'à 20h. Souvent scotché en l'air vent de face.</t>
  </si>
  <si>
    <t>Comme d'hab Yann s'extraie et crosse. Philippe et François râment avec de petits vols...</t>
  </si>
  <si>
    <t>Malay le Grand</t>
  </si>
  <si>
    <t>Bébert</t>
  </si>
  <si>
    <t>Un très beau Malay, qui a permis de belles extractions</t>
  </si>
  <si>
    <t>Peyragudes</t>
  </si>
  <si>
    <t>Météo difficile, nous avons pourtant réussi à voler presque tous les jours en découvrant les principaux sites du centre des Pyrénées : Vallée de Oô, Val Louron, Arbas ... 
Les accompagnantes ont pu profiter des nombreuses randonnées à proximité. 
Séjour basé sur une organisation collégiale.</t>
  </si>
  <si>
    <t>28/05/2023</t>
  </si>
  <si>
    <t>Belle journée. Tout le monde vole bien. Plusieurs cross déclarés</t>
  </si>
  <si>
    <t>27/05/2023</t>
  </si>
  <si>
    <t xml:space="preserve">Bar sur Aube </t>
  </si>
  <si>
    <t>Conditions cycliques (plaf ou plouf). Un cross sympa avec des plafs à plus de 2000</t>
  </si>
  <si>
    <t>26/05/2023</t>
  </si>
  <si>
    <t xml:space="preserve">Malay </t>
  </si>
  <si>
    <t xml:space="preserve">de nombreuses heures de vol dans des conditions pas toujours faciles. Vol de fin de journée mémorable </t>
  </si>
  <si>
    <t>24/05/2023</t>
  </si>
  <si>
    <t>Belle journée. Plus de 4 heures de vol pour certains. Maxi 6 pilotes en l'air en même temps !</t>
  </si>
  <si>
    <t>20 mai</t>
  </si>
  <si>
    <t>vols presque tous les jours</t>
  </si>
  <si>
    <t>14/05/2023</t>
  </si>
  <si>
    <t>Criel sur mer</t>
  </si>
  <si>
    <t>Journée moyenne point de vue soleil, mais belle journée de vol. Des cross jusqu'Ault. Tout le monde a la banane.</t>
  </si>
  <si>
    <t>Journée moyenne. Dans le nuage jusqu'à 17H00 et un peu faible ensuite. Mais ça a volé.</t>
  </si>
  <si>
    <t>Assez belle journée excepté la cheville de Fabien :-(</t>
  </si>
  <si>
    <t>20/04/2023</t>
  </si>
  <si>
    <t>Conditions très soutenues. Yann fait 84 km.</t>
  </si>
  <si>
    <t>19/04/2023</t>
  </si>
  <si>
    <t>Pas une grande journée mais bien agréable et ensoleillée. Philippe.T fait un cross de 30 km.</t>
  </si>
  <si>
    <t>28/03/2023</t>
  </si>
  <si>
    <t>St Martin sur Armançon</t>
  </si>
  <si>
    <t xml:space="preserve">Très belle journée (mais sans soleil) avec un vent soutenu mais pas trop fort où tout le monde a pu voler à sa guise sauf l'initiateur de la sortie ... </t>
  </si>
  <si>
    <t>21/03/2023</t>
  </si>
  <si>
    <t>Journée mitigée. Cycles assez courts. Looze pas un site évident.</t>
  </si>
  <si>
    <t>18/03/2023</t>
  </si>
  <si>
    <t>Brion/Looze</t>
  </si>
  <si>
    <t>Très belle ap.midi de vol. Un créneau de 4 heures dans de très bonnes conditions. Avant la pluie, qui était prévue.</t>
  </si>
  <si>
    <t>16/03/2023</t>
  </si>
  <si>
    <t>Beaux vols en début d'après-midi (jusqu'à 16h environ) mais trop fort ensuite.</t>
  </si>
  <si>
    <t>17 mars</t>
  </si>
  <si>
    <t>semaine correcte sans être exeptionnelle</t>
  </si>
  <si>
    <t>25 mars</t>
  </si>
  <si>
    <t>très belle semaine</t>
  </si>
  <si>
    <t>Véron - Looze</t>
  </si>
  <si>
    <t>Pas une grande journée. Trop travers à Véron. Et trop de monde. Repli sur Looze en fin d'ap.midi. Un peu trop tard.</t>
  </si>
  <si>
    <t>Même sortie annoncée que Rigny. Sont allés JC.M et Olivier.M.Conditions moyennes. Différentes des prévisions. Mais de quoi voler quand même</t>
  </si>
  <si>
    <t>Très belle journée avec peu de soleil malheureusement. Les cadors sont venus se remettre en ailes. Peu de plaf. Ca vole de 11H30 à 17H30.</t>
  </si>
  <si>
    <t>3 mars</t>
  </si>
  <si>
    <t>Maroc</t>
  </si>
  <si>
    <t>séjour fantastique ! ambiance géniale, vols tous les jours avec de nombreux sites, pays incroyable</t>
  </si>
  <si>
    <t>25/02/2023</t>
  </si>
  <si>
    <t>4 désistements ADS. Ciel couvert. journée ventée, l'accélérateur est prêt à servir. Léger renforcement vers 14-15 heure, on arrète là</t>
  </si>
  <si>
    <t>19/02/23</t>
  </si>
  <si>
    <t>Belle journée avec un arrêt brutal et momentané du vent qui enverra tout le monde sur la plage avec + ou - de marche à faire.</t>
  </si>
  <si>
    <t>16/2/2023</t>
  </si>
  <si>
    <t xml:space="preserve">Un peu de soleil mais vent plus faible qu'annoncé. Tout le monde a volé avec des fortunes diverses </t>
  </si>
  <si>
    <t>Très belle journée ensoleillée. Pas de plaf mais des vols sympa</t>
  </si>
  <si>
    <t>Conditions un peu faibles. Les surtoilés sont avantagés.</t>
  </si>
  <si>
    <t>31/01/23</t>
  </si>
  <si>
    <t>Très couvert mais conditions de vent quasi idéales pendant 4 heures.</t>
  </si>
  <si>
    <t>28/01/23</t>
  </si>
  <si>
    <t>Belle journée de vol sans le soleil malheureusement</t>
  </si>
  <si>
    <t>24/01/23</t>
  </si>
  <si>
    <t>Bien volé toute l'après-midi. PAs de soleil malheureusement. C'était annoncé assez fort mais c'était presque parfait.</t>
  </si>
  <si>
    <t>Journée sympa pour un un 3 Janvier. Site improbable mais qui fonctionne bien.</t>
  </si>
  <si>
    <t>Stages SIV et Pyla</t>
  </si>
  <si>
    <t>Nb de sorties journée</t>
  </si>
  <si>
    <t>Janvier 2023</t>
  </si>
  <si>
    <t>Janvier 2022</t>
  </si>
  <si>
    <t>Février 2023</t>
  </si>
  <si>
    <t>Février 2022</t>
  </si>
  <si>
    <t>Mars 2023</t>
  </si>
  <si>
    <t>Mars 2022</t>
  </si>
  <si>
    <t>Avril 2023</t>
  </si>
  <si>
    <t>Avril 2022</t>
  </si>
  <si>
    <t>Mai 2023</t>
  </si>
  <si>
    <t>Mai 2022</t>
  </si>
  <si>
    <t>Juin 2023</t>
  </si>
  <si>
    <t>Juin 2022</t>
  </si>
  <si>
    <t>Juillet 2023</t>
  </si>
  <si>
    <t>Juillet 2022</t>
  </si>
  <si>
    <t>Aout 2023</t>
  </si>
  <si>
    <t>Aout 2022</t>
  </si>
  <si>
    <t>Septembre 2023</t>
  </si>
  <si>
    <t>Septembre 2022</t>
  </si>
  <si>
    <t>Octobre 2023</t>
  </si>
  <si>
    <t>Octobre 2022</t>
  </si>
  <si>
    <t>Novembre 2023</t>
  </si>
  <si>
    <t>Novembre 2022</t>
  </si>
  <si>
    <t>Décembre 2023</t>
  </si>
  <si>
    <t>Décembre 2022</t>
  </si>
  <si>
    <r>
      <rPr>
        <b/>
        <sz val="11.0"/>
      </rPr>
      <t xml:space="preserve">Initiateur de la sortie </t>
    </r>
    <r>
      <rPr>
        <b/>
        <color rgb="FFFF0000"/>
        <sz val="11.0"/>
      </rPr>
      <t>à l'origine sur youmethem</t>
    </r>
  </si>
  <si>
    <t>18/12/2022</t>
  </si>
  <si>
    <t>Journée moyenne. Mais ça vole pour tout le monde. On part à la nuit malgré la finale de la coupe du monde ;-)</t>
  </si>
  <si>
    <t>Journée pas terrible. Brume, froid et vent faiblard. 2 créneaux de 20 mn...</t>
  </si>
  <si>
    <t>Belle journée de vol malgré l'absence de soleil et le froid.</t>
  </si>
  <si>
    <t>24/11/2022</t>
  </si>
  <si>
    <t>Journée sans soleil mais où ça vole bien pour tout le monde malgré un petit passage de pluie peu intense</t>
  </si>
  <si>
    <t>14/11/2022</t>
  </si>
  <si>
    <t>Chatillon sur marne</t>
  </si>
  <si>
    <t>Pas volé :-(. Trop faible et travers.</t>
  </si>
  <si>
    <t>Trop faible. Ca n'a pas volé (François n'y était pas finalement).</t>
  </si>
  <si>
    <t>octobre 2022</t>
  </si>
  <si>
    <t>sortie andalousie</t>
  </si>
  <si>
    <t xml:space="preserve">le zebre </t>
  </si>
  <si>
    <t>Mto defavorable mais on a rebondit sur du tourisme et rando</t>
  </si>
  <si>
    <t>29/10/2022</t>
  </si>
  <si>
    <t>Tout le monde vole mais peu malheureusement pour certains. De grosses rafales qui ont obligé tout le monde à jouer de l'accélérateur. Pas une journée inoubliable...</t>
  </si>
  <si>
    <t>25/10/2022</t>
  </si>
  <si>
    <t>Après midi sympa. Un peu faiblard jusqu'à 15H30 - 16H00. Ensuite juste ce qu'il fallait pour du face voile.</t>
  </si>
  <si>
    <t>22/10/22022</t>
  </si>
  <si>
    <t>Très belle journée. Tout le monde a volé entre 1H30 et plus de 4 heures. Du monde en l'air (30 à 35 ailes) mais aucun incident</t>
  </si>
  <si>
    <t>19/10/2022</t>
  </si>
  <si>
    <t>Belle journée ensolleillée, vent faible en arrivant mais qui a bien forci ensuite. Tout le monde a volé (il fallait avoir décollé avant 13h) et le ciel pratiquement que pour les ADS</t>
  </si>
  <si>
    <t>Belle journée. Très fort en début d'après-midi puis parfait de 15H30 à 18H00. Peu de monde, belles couleurs et lumières</t>
  </si>
  <si>
    <t>Bonneil/st martin</t>
  </si>
  <si>
    <t>Repartition du groupe sur 2 sites, tout le monde  volé</t>
  </si>
  <si>
    <t>Vincennes</t>
  </si>
  <si>
    <t>Sortie gonflage</t>
  </si>
  <si>
    <t>21/09/2022</t>
  </si>
  <si>
    <t>Belle journée. Tout le monde est content de sa journée.</t>
  </si>
  <si>
    <t>septembre 2022</t>
  </si>
  <si>
    <t>sortie st andre</t>
  </si>
  <si>
    <t>2 belles semaines sans avoir de journees exceptionnelles</t>
  </si>
  <si>
    <t>18/09/2022</t>
  </si>
  <si>
    <t>Session gonflage de 14h à 19h. Conditions un  peu fortes et légèrement turbulentes mais idéales pour gonfler et progresser au sol + faire quelques ploufs de la butte lors des baisses de cycles.</t>
  </si>
  <si>
    <t>Une belle fin de journée (apprès un début très fort). Découverte du site pour Angélique</t>
  </si>
  <si>
    <t>Journée mitigée: pas assez de dynamique et turbulences en l'air et au décollage, 2 vols pour chacun</t>
  </si>
  <si>
    <t>27/08/2022</t>
  </si>
  <si>
    <t>vol sur site . un peu tonique . Extraction difficile mais nombreux petits vols dans les cycles (très peu de vent)</t>
  </si>
  <si>
    <t>24/08/22</t>
  </si>
  <si>
    <t xml:space="preserve">Bertrand </t>
  </si>
  <si>
    <t>jolie journée de cross. thermiques bleus . record perso en plaine pour Jean Phi</t>
  </si>
  <si>
    <t>20/08/2022</t>
  </si>
  <si>
    <t xml:space="preserve">Dimitri </t>
  </si>
  <si>
    <t>Belle journée à Octeville, pas trop de monde sur site, tout le monde s'est fait plaisir</t>
  </si>
  <si>
    <t>Journée gâchée par les conditions brutales du moment : sécherresse + forte chaleur = conditions atomiques. Un non-accident pour François qui fait un skecth sans conséquence</t>
  </si>
  <si>
    <t>Octeville sur mer</t>
  </si>
  <si>
    <t>Journée magnifique. Un peu couvert le tout début d'ap.midi. Ca a volé de 12H00 au coucher du soleil.</t>
  </si>
  <si>
    <t>22/07/2022</t>
  </si>
  <si>
    <t xml:space="preserve">Conditions sympathiques le matin pour faire quelques waga et découvrir le site, conditions plus aléatoires l'après-midi </t>
  </si>
  <si>
    <t>19/07/2022</t>
  </si>
  <si>
    <t>Très fort au déco quand on arrive. Canicule. Ca baisse un peu. Ce n'est pas malsain en l'air. Tout le monde vole. 2 petits cross de 30 et 35 km</t>
  </si>
  <si>
    <t>15/07/2022</t>
  </si>
  <si>
    <t>Du Malay... Cyclique. Souvent travers droit. Pas de gros vol ce jour. Même pas de plaf.</t>
  </si>
  <si>
    <t>Bertrand</t>
  </si>
  <si>
    <t>Assez fort et rafaleux. Peu de pilotes sur site et pas bp  en l'air. Tout le monde vole malgré tout plus ou moins (entre 2 heures et 10 mn). Belle restit le soir</t>
  </si>
  <si>
    <t>Antoine</t>
  </si>
  <si>
    <t>Trop Est, trop fort et rafaleux. Thomas fait une frontale juste après le déco. Plus de peur que de mal. On ne reste pas.</t>
  </si>
  <si>
    <t xml:space="preserve">Malay le grand </t>
  </si>
  <si>
    <t>Sur la route back to grand Bo. Comme souvent, mauvais en basses couches mais très bon au dessus. Thermiques bleus, plafs à 1200</t>
  </si>
  <si>
    <t>Grand Bo S2</t>
  </si>
  <si>
    <t>DomFo</t>
  </si>
  <si>
    <t>Conditions meteo moyennes - ça a volé 4 jours.</t>
  </si>
  <si>
    <t>25/06/2022</t>
  </si>
  <si>
    <t>sites de Passy ,Agy, Mieussy ,sites d'Annecy et du Grand Bornand</t>
  </si>
  <si>
    <t>18/06/2022</t>
  </si>
  <si>
    <t>Saint Martin sur Armancon</t>
  </si>
  <si>
    <t xml:space="preserve">Très belles conditions avant renforcement du vent en fin de journée, conformément aux prévisions </t>
  </si>
  <si>
    <t>Marc.A</t>
  </si>
  <si>
    <t>Conditions exceptionnelles pour voler, avec plus de 3 heures de vol et 82 km cumulés</t>
  </si>
  <si>
    <t>Très belle journée. Conditions quasi idéales</t>
  </si>
  <si>
    <t>Pas terrible. 3 pilotes arrivent à voler environ 1 Heure. Pour les autres ce sera des ploufs. Faiblard et travers assez souvent. Bonne bière sur le retour</t>
  </si>
  <si>
    <t>4 au 11 Juin</t>
  </si>
  <si>
    <t>sortie Annecy</t>
  </si>
  <si>
    <t>voir compte rendu</t>
  </si>
  <si>
    <t>3 au 5 Juin</t>
  </si>
  <si>
    <t>Stage SIV</t>
  </si>
  <si>
    <t>Eric F</t>
  </si>
  <si>
    <t>a remplir - 7 a 8 vols par pilote</t>
  </si>
  <si>
    <t>31/05/2022</t>
  </si>
  <si>
    <t>Très belle journée encore. Peu de monde donc conditions cool.</t>
  </si>
  <si>
    <t>27/05/2022</t>
  </si>
  <si>
    <t>Très belle journée avec finalement peu de monde. Trop fort à notre arrivée, ça s'est arrangé à partir de 14H00 environ tout en restant soutenu. Quelques A/R phare Antifer</t>
  </si>
  <si>
    <t>14 au 21 mai</t>
  </si>
  <si>
    <t>belle semaine sans etre exceptionnelle, ça vole tous les jours sauf 1, voir cr françois pour détails</t>
  </si>
  <si>
    <t>15/05/2022</t>
  </si>
  <si>
    <t>bonneil</t>
  </si>
  <si>
    <t xml:space="preserve">journée agréable vol en local 900m d'altitude </t>
  </si>
  <si>
    <t>st Hilaire</t>
  </si>
  <si>
    <t>Belle journée avec beaucoup de déclarations ce jour là</t>
  </si>
  <si>
    <t>Conditions tres sympa, de jolis vols</t>
  </si>
  <si>
    <t>Bonne journée. Les crosseux partent tôt. Ca vole toute la journée.</t>
  </si>
  <si>
    <t>Journée moyenne. Vincent.F tire pas mal son épingle du jeu. On part un peut trop tôt (les conditions s'améliorent vers 17H00)</t>
  </si>
  <si>
    <t>30/04 au 07/05</t>
  </si>
  <si>
    <t>plusieurs sites pour la sortie LOT</t>
  </si>
  <si>
    <t>Adrien B</t>
  </si>
  <si>
    <t>3 parigots; 1 toulousain, et 3 locaux du club</t>
  </si>
  <si>
    <t>30/04/2022</t>
  </si>
  <si>
    <t>Du Malay. Pas mal de NO. Cyclique.Tout le monde. Ca va, bien sûr, du plouf au beau vol. Dimitri et Philippe.Guerillot</t>
  </si>
  <si>
    <t>28/04/2022</t>
  </si>
  <si>
    <t>Très belle journée. Difficile de monter au plaf. De beaux vols pour tout le monde. Journée gâchée par la blessure de Mathieu à la cheville</t>
  </si>
  <si>
    <t>25 au 29/04</t>
  </si>
  <si>
    <t>Stage DUNE - wagga school</t>
  </si>
  <si>
    <t>Yann O</t>
  </si>
  <si>
    <t xml:space="preserve">une semaine de gonflage de vols et de stage sur la dune. conditions moyennes mais semaine bien remplie </t>
  </si>
  <si>
    <t>24/04/2022</t>
  </si>
  <si>
    <t>Journée bizarre. Tout le monde au déco Nord. Un festival de gonflages et décos foireux. Tout le mone vole un peu quand même</t>
  </si>
  <si>
    <t>15 au 17 Avril</t>
  </si>
  <si>
    <t xml:space="preserve">7 a 8 vols par pilote </t>
  </si>
  <si>
    <t>Superbe journée. Bien que ce soit fort tout le monde a volé et est grimpé plus haut que la crête même en décollant de la pente école.</t>
  </si>
  <si>
    <t>Journée magnifique. Un peu fort après 15H00. Tout le monde vole et tout le monde a la banane.</t>
  </si>
  <si>
    <t>Journée étonnante car pas du tout en phase avec les prévis. Fort et conditions compliquées en l'air. Pas de plaf et pas de longs vol  (1H - 1H30 maxi)</t>
  </si>
  <si>
    <t>Port à Binson/Chamery</t>
  </si>
  <si>
    <t>Un premier essai à PAB : trop travers droit. En route pour Chamery. Dimitri et Julien feront un ou deux essais et poseront rapidement. Eric et François voyant cela préfère se cailler à regarder les autres. A partir du moment où nous sommes arrivés, personne n'a réussi à dépasser les 150 mètres au dessus du déco.</t>
  </si>
  <si>
    <t>19 au 27 Mars</t>
  </si>
  <si>
    <t>sortie Andalousie</t>
  </si>
  <si>
    <t>mauvaise mto, ca arrive meme a Algo</t>
  </si>
  <si>
    <t>27/0302022</t>
  </si>
  <si>
    <t>Phil T</t>
  </si>
  <si>
    <t xml:space="preserve">bien belle journée malgré le vent faible </t>
  </si>
  <si>
    <t>26/03/22</t>
  </si>
  <si>
    <t>trop fort. pas volé</t>
  </si>
  <si>
    <t>25/03/22</t>
  </si>
  <si>
    <t>Marc</t>
  </si>
  <si>
    <t>Bien au début trop fort après mieux à la fin.</t>
  </si>
  <si>
    <t>21/3/22</t>
  </si>
  <si>
    <t>Saint Martin sur Armançon</t>
  </si>
  <si>
    <t>Belles conditions, fort quand même entre 14h30 et 16h. Des beaux vols, une reprise pour certains, une belle manière de fêter le Printemps!</t>
  </si>
  <si>
    <t>Une journée qui a failli être un gros ratage. C'était très très fort en arrivant. Mais ça s'est amélioré à partir de 15H30 - 16H30 et tout le monde a bien volé, entre 1 et 2 heures.</t>
  </si>
  <si>
    <t>Philippe T</t>
  </si>
  <si>
    <t>Une belle journée à St Martin, avec Julien et PhilT. 2 bonnes heures de vol sur ce site très beau et impeccablement entretenu par les Aigles Tonnerrois</t>
  </si>
  <si>
    <t>Bar : trop fort. Rigny sur le retour : trop fort. Pas volé :-(</t>
  </si>
  <si>
    <t>Très belle journée. Tout le monde a bien volé a son niveau, mais en dessous de la reine (la Queen de Yann)</t>
  </si>
  <si>
    <t>Un bon gros but, 2 ploufs. Po de vent</t>
  </si>
  <si>
    <t>26/02/2022</t>
  </si>
  <si>
    <t>Très belle journée. Peu de plafond mais de beaux vols dans le grand bleu.</t>
  </si>
  <si>
    <t>26/2/2022</t>
  </si>
  <si>
    <t>Une très belle journée à Bar, avec des thermiques permettant de rester en l'air à volonté!</t>
  </si>
  <si>
    <t>19/02/2022</t>
  </si>
  <si>
    <t>Très fort mais belle journée. Les crosseux feront jusqu'à 180 km.</t>
  </si>
  <si>
    <t>Beau temps avec un vent léger pour gonfler. 25 voiles sur site dont 1 école</t>
  </si>
  <si>
    <t>Beau temps. Très mou jusqu'à 16H00 puis belles conditions. Environ 30 pilotes</t>
  </si>
  <si>
    <t>27/01/2022</t>
  </si>
  <si>
    <t>Très froid, très bouché, très peu de vent. Bonne séance de gonflage.</t>
  </si>
  <si>
    <t>23/01/2022</t>
  </si>
  <si>
    <t>Magnifique journée alors qu'on y croyait peu (prévu faiblard). Tout le monde vole plusieurs heures sous un beau ciel bleu.</t>
  </si>
  <si>
    <t>Session décevante. Vent bp trop faible. Très très peu de "vrais" vols. Bonne session de gonflage. Brouillard puis grand bleu à partir de 13H00</t>
  </si>
  <si>
    <t>nb de sorties = 56</t>
  </si>
  <si>
    <r>
      <rPr>
        <b/>
        <sz val="11.0"/>
      </rPr>
      <t xml:space="preserve">Initiateur de la sortie </t>
    </r>
    <r>
      <rPr>
        <b/>
        <color rgb="FFFF0000"/>
        <sz val="11.0"/>
      </rPr>
      <t>à l'origine sur youmethem</t>
    </r>
  </si>
  <si>
    <t>31/12/21</t>
  </si>
  <si>
    <t>Le zebre</t>
  </si>
  <si>
    <t xml:space="preserve">Soleil, T°clémente. Vent bien axé(SSO) mais trop faible pour tenir. Deux minivols avec repose au déco(Yann). </t>
  </si>
  <si>
    <t>Eric</t>
  </si>
  <si>
    <t>Belle journée ensoleillée avec 7 pilotes sur la Butte Nord dont 4 ADS. Un peu faiblard a notre arrivée vers 14h ca s'est renforcé juste assez vers 15h comme prevu (S a SO).</t>
  </si>
  <si>
    <t>24/10/21</t>
  </si>
  <si>
    <t>Temps magnifique. 20 à 25 ailes et peu d'étagement. Donc un peu stressant. On attendait un créneau volable assez court et cela a volé de 10H30 à 17H00. Tout le monde a trouvé son bonheur.</t>
  </si>
  <si>
    <t>22/10/21</t>
  </si>
  <si>
    <t>Pas une grande journée, mais on le savait. Mais chacun était content de sa journée.</t>
  </si>
  <si>
    <t>17/1021</t>
  </si>
  <si>
    <t>Sortie Club</t>
  </si>
  <si>
    <t>Du Malay... Cyclique. Les bons réussissent à voler 1H30. Orientation NNO. Pas de plaf je crois.</t>
  </si>
  <si>
    <t>Journée très sympa malgré des conditions plus faibles que prévues. Tout le monde vole. Plus ou moins. Aucun incident. Bière sympa avant de rentrer :-)</t>
  </si>
  <si>
    <t>Grenois / Asnan</t>
  </si>
  <si>
    <t>Assez belle journée. Peu de monde. pas de réussite côté Grenois =&gt; Bascule sur Asnan : OK. Entre 5 mn et 2 heures de vol.</t>
  </si>
  <si>
    <t>Saint André</t>
  </si>
  <si>
    <t>17/08/21</t>
  </si>
  <si>
    <t>Très couvert mais des ascendances malgré tout. Tout le monde vole. Une douzaine de pilotes. Pas de départ en cross. Un pilote aux arbres (pas ADS)</t>
  </si>
  <si>
    <t>21/07/21</t>
  </si>
  <si>
    <t>Cyclique comme d'habitude. Tendance franchement Est. 5 pilotes maxi.</t>
  </si>
  <si>
    <t>19/07/21</t>
  </si>
  <si>
    <t>On a connu de meilleures journées à Lalandelle.</t>
  </si>
  <si>
    <t>Gd Bo</t>
  </si>
  <si>
    <t>Dom Fo</t>
  </si>
  <si>
    <t>26/06/21</t>
  </si>
  <si>
    <t>30/06/21</t>
  </si>
  <si>
    <t>Sennevile sur Fécamp</t>
  </si>
  <si>
    <t>Un passage aux deux amants. Trop travers, ciel menaçant. En route pour Séneville qui a sauvé la journée de vol.</t>
  </si>
  <si>
    <t>Une journée sympa. Franchememnt travers gauche mais ça volait bien. Pas trop de monde</t>
  </si>
  <si>
    <t>Très belle journée. Enormément de monde. Mais ça reste fréquentable. Tout le monde voler entre 1H30 et 3H00.</t>
  </si>
  <si>
    <t>Lery poses</t>
  </si>
  <si>
    <t>Début de journée trop faible. C'était prévu. Ensuite des cycles avec des passages à zéro ou presque tout le monde va au tas. Pour les derniers vols, 5 pilotes partent et font environ 35 km.</t>
  </si>
  <si>
    <t>31/05/21</t>
  </si>
  <si>
    <t>Encore un belle journée. Thermiques bleus et pas mal hachés mais une belle après-midi avec peu de monde sur site. 3 deltas on volé.</t>
  </si>
  <si>
    <t>29/05/21</t>
  </si>
  <si>
    <t>Bar/aube</t>
  </si>
  <si>
    <t>Belle journée mais forte, bien thermique et un peu désaxée, néanmoins 1 à 2h30  de vol dans le bocal avec de beaux gains et très peu de monde... que les morts de faim !</t>
  </si>
  <si>
    <t>28/05/21</t>
  </si>
  <si>
    <t>Valmy</t>
  </si>
  <si>
    <t>Belle journée mais faible jusqu'à 17h(ploufs. Un beau vol de fin de journée pour Nadir écourté pour couvre-feu</t>
  </si>
  <si>
    <t>26/05/21</t>
  </si>
  <si>
    <t>Encore une belle journée conforme aux prévisions. Un peu fort et travers gauche en arrivant puis ça s'est bien installé. Presque un peu faible en fin d'ap.midi</t>
  </si>
  <si>
    <t>22/05/21</t>
  </si>
  <si>
    <t>Marlens</t>
  </si>
  <si>
    <t>18/5/21</t>
  </si>
  <si>
    <t>Journée idéale: soleil, ciel bleu, vent parfait 15-20 bien axé et peu de monde, 3 h de vol</t>
  </si>
  <si>
    <t>Belle journée. Vent fort et rafaleux mais ça a bien volé. Pas énormément de monde finalement. Ciel plus que bâché en arrivant et ça finira par une ap.midi très ensoleillée.</t>
  </si>
  <si>
    <t>24/04/21</t>
  </si>
  <si>
    <t>plaine du polygone. vincennes</t>
  </si>
  <si>
    <t>jean claude</t>
  </si>
  <si>
    <t xml:space="preserve">belle seance de gonflage avec des moments laminaire et d'autres avec rafales soutenues. enrichissant . belle journee ensoleillée. </t>
  </si>
  <si>
    <t>Conditions correctes mais cycliques, et surtout noir de monde. Donc difficile de voler correctement.</t>
  </si>
  <si>
    <t>Encore un bon Bar. Tout le monde vole. Froid mais grand soleil. Moins fort qu'annoncé par tous les sites de prévis excepté Velivole qui avait vu juste.</t>
  </si>
  <si>
    <t>Rigny très fort et turbulent en début de journée, puis très volable. Journée sous un voile de nuage par contre. Un blessé du thermique francilien (cheville)...</t>
  </si>
  <si>
    <t>28/02/21</t>
  </si>
  <si>
    <t>Tres bon Bar. Le vent juste comme il fallait. Le soleil en plus. Queques heures de vol</t>
  </si>
  <si>
    <t>24/02/21</t>
  </si>
  <si>
    <t xml:space="preserve">Prévisions de vent un peu juste nous n'étions pas très sereins . Finalement direction idéale et force un poil supérieure que prévue. Belle journée de soaring ensoleillé et vol possible de 11h00 jusqu'à au moins 16h00, quand nous partions mais ça volait encore. Peu de monde, un chouïa de thermiques, conditions idéales pour une reprise. </t>
  </si>
  <si>
    <t>21/02/21</t>
  </si>
  <si>
    <t>courcouronnes</t>
  </si>
  <si>
    <t>gonflage et quelques ploufs sous le soleil avant la saison</t>
  </si>
  <si>
    <t>19/1/21</t>
  </si>
  <si>
    <t>Bien pour certains, moins bien pour d'autres</t>
  </si>
  <si>
    <t>15/01/21</t>
  </si>
  <si>
    <t>Très bon Lalandelle, un peu fort mais du thermique, des plafs à 700m en janvier...</t>
  </si>
  <si>
    <t>Total Jours 2020</t>
  </si>
  <si>
    <r>
      <rPr>
        <b/>
        <sz val="11.0"/>
      </rPr>
      <t xml:space="preserve">Initiateur de la sortie </t>
    </r>
    <r>
      <rPr>
        <b/>
        <color rgb="FFFF0000"/>
        <sz val="11.0"/>
      </rPr>
      <t>à l'origine sur youmethem</t>
    </r>
  </si>
  <si>
    <t>Doue</t>
  </si>
  <si>
    <t>gonflage dans du vent soutenu . arret entre 17h et 18h ( trop fort ) puis de nouveau bon.</t>
  </si>
  <si>
    <t>gonflage</t>
  </si>
  <si>
    <t>Puy de Dôme</t>
  </si>
  <si>
    <t>XavP</t>
  </si>
  <si>
    <t>Premier jour vendredi 11/09 perturbé par le passage du Tour de France au pied du Puy de Dôme. Nous nous rabattons sur le Puy Saint Sandoux. Bonnes conditions convectives mais vent un poil mal orienté et nous n'avons pas sû faire. Le lendemain samedi 12/09 vol au Puy de Dôme. Bonnes conditions en thermiques purs. Cross pour 3 d'entre nous vols sur site pour les autres. Dimanche 12/09 je (XavP) reste seul. Trop fort sur le PdD je plouf une fois au St Sandoux. Retour au PdD où vers 15h00 l'ambiance se détent et je profite d'un beau vol sur site que je limite à 1h30 car un peu fatigué par les 3h45 réalisées la veille. Lundi 14/09 trop venteux et remontée en Ile de France en faisant escale à Grenois. Grenois où le vent est correct en force et en direction mais les rafales bien trop fortes dans des conditions dignes des canicules du plein été. Je reprends mon chemin vers le nord.</t>
  </si>
  <si>
    <t>conditions nickel</t>
  </si>
  <si>
    <t>29/06/20</t>
  </si>
  <si>
    <t>Samoens</t>
  </si>
  <si>
    <t>Sortie annuelle à Samoëns, un non Safran dans le groupe, tout le monde content de la semaine</t>
  </si>
  <si>
    <t>15/08/20</t>
  </si>
  <si>
    <t>Mont Poupet</t>
  </si>
  <si>
    <t>Une journée volable sur 2, sympa mais moins bon qu'espéré</t>
  </si>
  <si>
    <t>26/07/20</t>
  </si>
  <si>
    <t>vol sympas dont biplaces</t>
  </si>
  <si>
    <t>25/07/20</t>
  </si>
  <si>
    <t>trop fort, pas top</t>
  </si>
  <si>
    <t>Le Grand Bornand</t>
  </si>
  <si>
    <t xml:space="preserve"> La semaine que bcp attendaient depuis la sortie du confinement .Sortie inter club LADS Crecerelles.Un beau chalet dans un site superbe,une bonne météo,un super groupe et de beaux vols! De beaux et bons souvenirs .Le parapente comme on l'aime.</t>
  </si>
  <si>
    <t>14/06/2020</t>
  </si>
  <si>
    <t>J.Philippe</t>
  </si>
  <si>
    <t>Une dizaine de pilotes sur ce petit site. Mais vent trop faible + pas de cycle thermique = que des ploufs...</t>
  </si>
  <si>
    <t>Jeufosse</t>
  </si>
  <si>
    <t>journée des 430 km, no comment :-(</t>
  </si>
  <si>
    <t xml:space="preserve"> km</t>
  </si>
  <si>
    <t>belle cession sans être extraordinaire, cyclique</t>
  </si>
  <si>
    <t>30/05/2020</t>
  </si>
  <si>
    <t>Ivry la bataille</t>
  </si>
  <si>
    <t>Fort et trop cyclique, un jour...</t>
  </si>
  <si>
    <t>29/05/2020</t>
  </si>
  <si>
    <t xml:space="preserve">Bonneil </t>
  </si>
  <si>
    <t>Mathieu</t>
  </si>
  <si>
    <t>Fort et rafaleux, pas top, Fred fait secours</t>
  </si>
  <si>
    <t>28/05/2020</t>
  </si>
  <si>
    <t>Trop fort des 12h. Le vent fort etait prevu mais on esperait un debut d'apres midi volable.  Les ailes restent dans les Sac. YMT créé mais supprimé suite a fausse manip</t>
  </si>
  <si>
    <t>27/05/2020</t>
  </si>
  <si>
    <t>Conditions proches de la veille. Un peu moins de monde. Tourne un pau nord en fin de journee. Accelerateur indispensable en fin d'apres midi</t>
  </si>
  <si>
    <t>26/05/2020</t>
  </si>
  <si>
    <t>Eric V</t>
  </si>
  <si>
    <t>Belle journée,  de bons cycles,  surpeuplé: environ 50 pilotes, et jusqu'à plus de 30 en l'air</t>
  </si>
  <si>
    <t>24/05/2020</t>
  </si>
  <si>
    <t>St Clair sur Epte</t>
  </si>
  <si>
    <t>Belle journée, Souvent travers, cycles irréguliers mais quelques extractions, pas mal de monde... Pas facile. Avec Jean Claude, Cedric, Olivier, Thomas, Dimitri, Antoine, Eric, DomZ</t>
  </si>
  <si>
    <t>22/05/2020</t>
  </si>
  <si>
    <t>belle cession</t>
  </si>
  <si>
    <t>20/05/2020</t>
  </si>
  <si>
    <t>enfin extraction et plaf à 1300 m avec JP !</t>
  </si>
  <si>
    <t>16/05/2020</t>
  </si>
  <si>
    <t>pas top</t>
  </si>
  <si>
    <t>18/05/2020</t>
  </si>
  <si>
    <t>ça vole</t>
  </si>
  <si>
    <t>mars</t>
  </si>
  <si>
    <t>MAROC</t>
  </si>
  <si>
    <t>19/05/2020</t>
  </si>
  <si>
    <t>Belle journée, cycles forts et irréguliers, pas mal de monde... Pas facile. Avec Agnès, Eric</t>
  </si>
  <si>
    <t xml:space="preserve">Belle journée, bons cycles, quelques extractions </t>
  </si>
  <si>
    <t>doue</t>
  </si>
  <si>
    <t>Belle séance de gonflage et petits vols à Doue, avec Stephane, DomF, Olivier, Eric. Premiere sortie post deconfinement pour beaucoup</t>
  </si>
  <si>
    <t xml:space="preserve">Courcouronnes </t>
  </si>
  <si>
    <t>PhilippeT</t>
  </si>
  <si>
    <t>Belle séance de gonflage à Bondoufle, avec Eric, Noël et Valentin. Avec çà, on est parés pour les premiers décos de la saison!</t>
  </si>
  <si>
    <t xml:space="preserve">Superbe journée, vent bien orienté </t>
  </si>
  <si>
    <t>Xavier</t>
  </si>
  <si>
    <t>Agréable remise en jambe.</t>
  </si>
  <si>
    <t>Très belle journée : Ca a volé de 10H00 à 21H00. Sous le soleil.</t>
  </si>
  <si>
    <t>Total Jours 2019</t>
  </si>
  <si>
    <r>
      <rPr>
        <b/>
        <sz val="11.0"/>
      </rPr>
      <t xml:space="preserve">Initiateur de la sortie </t>
    </r>
    <r>
      <rPr>
        <b/>
        <color rgb="FFFF0000"/>
        <sz val="11.0"/>
      </rPr>
      <t>à l'origine sur youmethem</t>
    </r>
  </si>
  <si>
    <t>28/12/2019</t>
  </si>
  <si>
    <t>le zèbre</t>
  </si>
  <si>
    <t>Journée boueuse mais sympa, ça voletait, on a tenté</t>
  </si>
  <si>
    <t>Rigny le Furon</t>
  </si>
  <si>
    <t>Belle journée, bonnes conditions</t>
  </si>
  <si>
    <t>18/10/19</t>
  </si>
  <si>
    <t>Sans être exceptionnelle, la semaine nous a permis de voler quasi tous les jours, Josselin 20h au compteur</t>
  </si>
  <si>
    <t>26/10/19</t>
  </si>
  <si>
    <t>Très belle journée, ça à volé toute la journée dans des conditions idéales, chacun a pu se rassasier</t>
  </si>
  <si>
    <t>14/9/19</t>
  </si>
  <si>
    <t>St André les Alpes</t>
  </si>
  <si>
    <t>Le zèbre</t>
  </si>
  <si>
    <t>Une très belle semaine, vol tous les jours entre St André et St Vincent, organisation au top, navettes et récups parfaites, tout le monde a volé à son niveau et a pu progresser, pas d'incidents notables en-dehors d'une cheville sur un attero à trous de taupes.</t>
  </si>
  <si>
    <t>Raté, trop faible, 2 ploufs</t>
  </si>
  <si>
    <t>Senneville</t>
  </si>
  <si>
    <t>Encore une journée parfaite avec cependant des conditions fortes au deco, aller retour senneville etretat fecamp et des vols de 2 à 3 heures</t>
  </si>
  <si>
    <t>Conditions fortes voire très fortes. 1 seul cross de 75 km. Une quizaine de pilotes au plus chargé de la journée. Certains pilotes renoncent à voler.</t>
  </si>
  <si>
    <t>journée parfaite, 15-20 km/h axé stable, beau temps, 2 vols d'1 h et un A/R Antifer</t>
  </si>
  <si>
    <t>13/08/2019</t>
  </si>
  <si>
    <t>Conditions cycliques, vent météo faible à modéré, couverture nuageuse 4/8 puis 7/8 à partir de 16h00. 1 Beau cross, 1 cross ou fléchette, petits vols sur site et travail au sol. Présence de dusts en début d'après-midi. On voit passer les crosseux qui ont décollé de Rosoy Véron.</t>
  </si>
  <si>
    <t>31/07/19</t>
  </si>
  <si>
    <t>Belle journée. Conditions très fortes en arrivant puis cela a pu voler. Deux fléchettes + vols en local + travail au sol. On est rejoint par les crosseux qui n'ont pas trouvé leur bonheur à Looze</t>
  </si>
  <si>
    <t>Alpes du nord</t>
  </si>
  <si>
    <t>Damon</t>
  </si>
  <si>
    <t>Première virée depuis des années pour moi, retrouvaille avec le matériel, la voile, alors comment çà marche??? et en fait bin çà s'oublie pas. 3 vols dont 2 déclarés cfd, super content de retrouver les parapotes, la joie des rotes, le stop pour retourner chercher la voiture etc etc, Pour ce qui est des vols, augmentation significative des marges ne serait-ce sur la distance entre la falaise et moi pour "gratter". conditions assez turbulentes sur certains vols, dans ce cas, si pas à l'aise, on va se poser! il faut regretter d'être au sol mais pas d'être en l'air! découverte du site du grand bornand, beau déco malgrès l'aspect pentu ( attention à la temporisation si dos voile ) allez j'arrête, je ne vais pas faire de dicertation.</t>
  </si>
  <si>
    <t>18/07/19</t>
  </si>
  <si>
    <t>Belle journée pour tout le monde. Chacun y a trouvé son bonheur : Travail au sol, petit cross, vols en local, etc...</t>
  </si>
  <si>
    <t>15/07/19</t>
  </si>
  <si>
    <t>Conditions très spéciales. 15/20 annoncé sur tous les sites de prévis. Zéro sur place en arrivant et pendant longtemps. Il y aura un créneau de 2 heures pendant lesquelles quelques vols seront réalisés (majorité de ploufs).</t>
  </si>
  <si>
    <t>13/07/19</t>
  </si>
  <si>
    <t>Butte de Doue</t>
  </si>
  <si>
    <t>Belle session de gonflage. Un peu fort...</t>
  </si>
  <si>
    <t>Adrien</t>
  </si>
  <si>
    <t>40 pilotes au déco, vent faible. ça volait dans les cycles mais ça ne montait pas. Quelques extractions vers 16 heures, on avait laché l'affaire</t>
  </si>
  <si>
    <t>Francois</t>
  </si>
  <si>
    <t>Quelques aller retour entre Port en Bessin et Arromanche - Vent correct par moment faible parfois. Belle journee en bord de mer</t>
  </si>
  <si>
    <t>Trop faible au début, trop fort à la fin mais 2-3 h de gonflage et ploufs entre les 2, finalement une bonne session</t>
  </si>
  <si>
    <t>Chamery</t>
  </si>
  <si>
    <t>Guillaume</t>
  </si>
  <si>
    <t>Bien, alimenté et du bleu, petits cross. Mais c'est à Jeufosse qu'il fallait être, surtout qd on remplit les critères de l'habilitation!</t>
  </si>
  <si>
    <t>Conditions soutenues mais volable. Tout le monde a volé. Ca s'est renforcé vers 16H00 - 16H30. Il n'y avait plus que des minivoiles, les biplaces et 2 ou 3 ailes solo .Quelques A/R Etretat. Une belle journée au bord de la mer qui s'est terminée par un moules/frites à Etretat.</t>
  </si>
  <si>
    <t>22/06/19</t>
  </si>
  <si>
    <t>Canicule: conditions stables mais tjs bcp de plaisir et qq vols sympas . sejour inter club agréable: LADS-Crecerelles.</t>
  </si>
  <si>
    <t>24/06/2019</t>
  </si>
  <si>
    <t>St Martin</t>
  </si>
  <si>
    <t>Pratiquement pas de vent météo. Donc cycles de 5 à 20 mn. Un peu remuant. Le meilleur vol du jour = 30 mn. Trois sur sites dont 1 local. 
Reprise de contact avec sa voile pour Damon. Prise de contact pour François avec son Alpha6. J'ai l'impression que ça tombe vite une Alpha 6 ;-)</t>
  </si>
  <si>
    <t>22/06/2019</t>
  </si>
  <si>
    <t>Application de l'adage qui dit que quand c'est bon faut pas attendre que cela deviennent meilleur.  Peu de vent météo, que des cycles thermiques en ON OFF. Vu le monde,  le "bordel" au déco. JMG part quand c'est bon et fait un beau vol les autres attendent le meilleur et font quelques ploufs à peine ralentis. Point positif, bon d'entraînement à  la gestion des décollages à  la c.n.😉</t>
  </si>
  <si>
    <t>18/6/19</t>
  </si>
  <si>
    <t>noel</t>
  </si>
  <si>
    <t>conditions faibles et pas bien axees  mais volables...</t>
  </si>
  <si>
    <t>16/6/19</t>
  </si>
  <si>
    <t>siv lery poses</t>
  </si>
  <si>
    <t>360 engagés et prise de contact de sa nouvelle voile pour le zebre</t>
  </si>
  <si>
    <t>15/6/19</t>
  </si>
  <si>
    <t>véron/looze</t>
  </si>
  <si>
    <t>pas une journée exceptionnelle mais ça volotait, trop travers droit</t>
  </si>
  <si>
    <t>Chatillon sur Marne</t>
  </si>
  <si>
    <t>Grauves trop fort. Chatillon sur Marne plus acueillant, bien alimenté et atomique</t>
  </si>
  <si>
    <t>Samedi très bien (mais le plafond a mis un certain temps à se lever), dimanche très bof. Conforme aux prévisions, weekend globalement rentable.</t>
  </si>
  <si>
    <t>31/05/19</t>
  </si>
  <si>
    <t>Force du vent prévu entre 15 et 20km/h faiblissant en cours de journée. Fort jusqu'à 10 heures(avant notre arrivée sur site) puis très faible rapidement passant de OSO en matinée à ONO en aprés-midi. Bonne séance de gonflage.</t>
  </si>
  <si>
    <t>25/05/2019</t>
  </si>
  <si>
    <t>Vol autorisé jusqu'a cauville du fait des conditons brumeuses le matin et debut d'apres midi. Conditons de vent changeantes en force surtout, et quelques posés a la plage a certians moments faute de vent. le vent revient en fin d'apres midi pour quelques decos/reposes au deco.</t>
  </si>
  <si>
    <t>21/05/2019</t>
  </si>
  <si>
    <t>les 2 amants Octeville senneville</t>
  </si>
  <si>
    <t>pas top conditions mais belle journée ensoleillée à la mer avec 3 sites dans la journée</t>
  </si>
  <si>
    <t>Belle journée, mais vent se renforçant dans l'après midi. Brusque rentrée qui fait reculer quelques elles, dont un accident (fermeture proche du sol)...</t>
  </si>
  <si>
    <t>Bonne convection qui démarre très tôt (10H00), vent fort limite, plafond bas: 1000m à 12h00. Jour et site du nouveau record de France, fallait y être!</t>
  </si>
  <si>
    <t>mai 2019</t>
  </si>
  <si>
    <t>Chartreuse</t>
  </si>
  <si>
    <t>conditions mitigées mais on a réussi à voler presque tous les jours</t>
  </si>
  <si>
    <t>29/04 a 02/05/2019</t>
  </si>
  <si>
    <t>LERY-POSES</t>
  </si>
  <si>
    <t>stage SIV chez plaine altitude</t>
  </si>
  <si>
    <t>Meruz</t>
  </si>
  <si>
    <t>Belle journée annoncée, 150 ailes sur le déco, Anatole fait un triangle de 125kms en presque 8h. Autres pilotes le Zèbre, Philippe T. et un ex-ADS avec Stéphane!</t>
  </si>
  <si>
    <t>30/4/2019</t>
  </si>
  <si>
    <t>Montlambert</t>
  </si>
  <si>
    <t>Vols depuis Montlambert car trop fort partout ailleurs, Le Zèbre, Anatole et Philippe T</t>
  </si>
  <si>
    <t>01/05 /2019</t>
  </si>
  <si>
    <t xml:space="preserve">La belle idée </t>
  </si>
  <si>
    <t xml:space="preserve">Treuil. Une dizaine de vols avec un vent faible et capricieux </t>
  </si>
  <si>
    <t>22/04/2019</t>
  </si>
  <si>
    <t>Un voile persistant, fallait être patient. Belle soirée de vol avec une restit de ouf</t>
  </si>
  <si>
    <t>20/04/2019</t>
  </si>
  <si>
    <t>Bar sur Aube et Poupet</t>
  </si>
  <si>
    <t xml:space="preserve">Bar/Aube: thermiques larges. 2 extractions et vols de 20km environ
Poupet: vent faible samedi et dimanche. decos techniques sans vent car peu de place pour s'elancer. Lundi mieux car plus alimenté - 2h30 de vol pour tous </t>
  </si>
  <si>
    <t>14/4/2019</t>
  </si>
  <si>
    <t>Nous étions 3 au final sur Lalandelle NE, Olivier, Dimitri &amp; Xavier
@Olivier : c'était mes premiers vols de 2019. Déco bien alimenté voir très bien alimenté ou je ferai 3 vols (presque 3H00), un peu de monde sur place, mais ça s'étageait correctement vu les conditions.
Pour ma part ça été du vol local avec travail du thermique, je laisse la parole à Xavier et Dimitri qui ont fait une extraction du site, Bravo à eux 2 !
Oui Dimitri et moi nous sommes bien amusés à Lalandelle ce dimanche. Vols sur site et une extraction chacun.
Masse d'air froide mais saine.</t>
  </si>
  <si>
    <t>13/4/2019</t>
  </si>
  <si>
    <t>St moré</t>
  </si>
  <si>
    <t>Vent faible au deco, parfois travers, mais quelques bouffes thermiques ont permis de decoler. Tonique en l'air jusque vers 17h. Puis ca tenait/montait en air plus calme. Petite flechette de Nadir</t>
  </si>
  <si>
    <t>Arrivés sur place nous constatons que le vent est trop fort. D autres pilotes attendentavec nous. Seul John des crecerelles se mettra en l air... Nous avons découvert un nouveau site  très sympa et proche de Paris</t>
  </si>
  <si>
    <t>Régis</t>
  </si>
  <si>
    <t>bien thermique jusqu'à l'arrivée du voile.</t>
  </si>
  <si>
    <t>30/03/2019</t>
  </si>
  <si>
    <t>Beau soleil. Conditions un peu faibles mais assez laminaires. Du bon Courcouronnes</t>
  </si>
  <si>
    <t>24/3/2019</t>
  </si>
  <si>
    <t>Jean-Claude M.</t>
  </si>
  <si>
    <t>Très faible jusqu'à 13h. Puis se renforçant rapidement avec un tendance NO marquée et peu favorable. Nadir et moi avons volé avec plaisir.</t>
  </si>
  <si>
    <t>23/03/2019</t>
  </si>
  <si>
    <t xml:space="preserve">Rigny le Ferron </t>
  </si>
  <si>
    <t>Petits cycles sympas toute la journée. Plusieurs heures de vol. 4 pilotes présents. Pas rafaleux, tout doux</t>
  </si>
  <si>
    <t>mars 2019</t>
  </si>
  <si>
    <t>il a fallu bouger pour arriver à voler presque tous les jours, conditions venteuses, édition mitigée</t>
  </si>
  <si>
    <t>21/03/2019</t>
  </si>
  <si>
    <t>Fort mais régulier et vivable en 2ème partie d'après-midi. 1h30 chacun.</t>
  </si>
  <si>
    <t>20/03/2020</t>
  </si>
  <si>
    <t>Faiblard à fort. quelques extractions. Grand soleil.Environ 12 pilotes présents.</t>
  </si>
  <si>
    <t>25/02/2019</t>
  </si>
  <si>
    <t>Faible et/ou travers gauche. Un créneau de 20 mn...</t>
  </si>
  <si>
    <t>23/02/2019</t>
  </si>
  <si>
    <t>Un super Rigny malgré un vent un peu Est. Max 3 voiles en l'air. Belles conditions</t>
  </si>
  <si>
    <t>21/02/2019</t>
  </si>
  <si>
    <t>Très petites conditions. Grand soleil.</t>
  </si>
  <si>
    <t>17/2/2019</t>
  </si>
  <si>
    <t>Pasly</t>
  </si>
  <si>
    <t>Jolies conditions de fevrier, vent S bien axé un peu rafaleux par moment, soleil et ciel bleu et quelques beaux vols pour tous.</t>
  </si>
  <si>
    <t>Patrick</t>
  </si>
  <si>
    <t xml:space="preserve">Excellente séance de gonflage avec du vent Sud ; juste ce qu'il faut  </t>
  </si>
  <si>
    <t>16/2/2019</t>
  </si>
  <si>
    <t>La Roquette</t>
  </si>
  <si>
    <t>Jean-Claude</t>
  </si>
  <si>
    <t>Débroussaillage: site agrandi et nettoyé. DomF part ensuite; trop peu de vent. JC reste, attend; ça commence vers 16h: 1 vol de 5mn et 1 vol d'1/2h. C'est la repise :-)</t>
  </si>
  <si>
    <t>15/02/2019</t>
  </si>
  <si>
    <t>Agrėable après-midi printanière en compagnie de Philippe T et Nicolas L. Petite brise SSE un poil trop faible.</t>
  </si>
  <si>
    <t xml:space="preserve">Clecy </t>
  </si>
  <si>
    <t>belle journée thermodynamique</t>
  </si>
  <si>
    <t>Senneville sur Fécamp</t>
  </si>
  <si>
    <t xml:space="preserve">Moins fort que la veille, froid mais très sympa. </t>
  </si>
  <si>
    <t xml:space="preserve">Vent fort au décollage, mais bien axé. Déco difficile. Vol nickel et agréable pour ceux qui ont pu décoller. A/R Etretrat  </t>
  </si>
  <si>
    <t>Total Jours 2018</t>
  </si>
  <si>
    <r>
      <rPr>
        <b/>
        <color rgb="FFFF0000"/>
        <sz val="11.0"/>
      </rPr>
      <t xml:space="preserve">Pour être reportée dans ce tableau une sortie doit avoir été </t>
    </r>
    <r>
      <rPr>
        <b/>
        <color rgb="FFFF0000"/>
        <sz val="11.0"/>
        <u/>
      </rPr>
      <t>annoncée</t>
    </r>
    <r>
      <rPr>
        <b/>
        <color rgb="FFFF0000"/>
        <sz val="11.0"/>
      </rPr>
      <t xml:space="preserve"> et au moins </t>
    </r>
    <r>
      <rPr>
        <b/>
        <color rgb="FFFF0000"/>
        <sz val="11.0"/>
        <u/>
      </rPr>
      <t>2 membres</t>
    </r>
    <r>
      <rPr>
        <b/>
        <color rgb="FFFF0000"/>
        <sz val="11.0"/>
      </rPr>
      <t xml:space="preserve"> des ADS doivent y avoir participé. 
On ajoute la sortie même si cela n'a pas volé et pour une raison d'éthique il est préférable que les vols en sortie ADS soient déclarés à la CFD au club ADS</t>
    </r>
  </si>
  <si>
    <t>Initiateur de la sortie</t>
  </si>
  <si>
    <t>Roquebrune</t>
  </si>
  <si>
    <t>à remplir</t>
  </si>
  <si>
    <t>Stéphane</t>
  </si>
  <si>
    <t>Pas volable, on a gonflé sur le plateau, en étant dos au déco...</t>
  </si>
  <si>
    <t>13/10/18</t>
  </si>
  <si>
    <t>Vincelle</t>
  </si>
  <si>
    <t>Jean-michel</t>
  </si>
  <si>
    <t>Parti de Meaux avec mon voisin Vincent. On retrouve sur place Marc Nossin. Pour moi, 45 minutes de vol. J'ai pris 300 m au dessu du déco.</t>
  </si>
  <si>
    <t>Grenois parfait</t>
  </si>
  <si>
    <t>3 au 6 octobre</t>
  </si>
  <si>
    <t>Saint Gervais</t>
  </si>
  <si>
    <t>Salon 4807 Flying light. Très beau temps. Rando proposées tous les jours par le club de Saint Gervais, redescentes en parapente. Possibilité d'emprunter du matériel léger dans le cadre du salon.</t>
  </si>
  <si>
    <t>15 au 23 septembre</t>
  </si>
  <si>
    <t>st andré</t>
  </si>
  <si>
    <t>Très belle semaine, voir cr</t>
  </si>
  <si>
    <t xml:space="preserve">Jean marc </t>
  </si>
  <si>
    <t>très belle journée thermodynamique bien alimentée, tout le monde a volé plus d’une heure puis les conditions sont devenues trop fortes</t>
  </si>
  <si>
    <t xml:space="preserve">Belle journée mais très cycliques, Yann a bien amusé </t>
  </si>
  <si>
    <t>15/09/2018</t>
  </si>
  <si>
    <t>Nico / XavP</t>
  </si>
  <si>
    <t>Il manquait 5km/h.  Quelques vols, beaucoup de gonflage, beaucoup de sable.</t>
  </si>
  <si>
    <t>Saint Moré</t>
  </si>
  <si>
    <t>Journée moyenne avec masse d'air pas saine, quelques incident sans gravité, site pas tous niveaux</t>
  </si>
  <si>
    <t>Vent faible et travers, déco pas propre, mais un bon Saint Moré avec plein d'extractions, même tardives, et des cross.</t>
  </si>
  <si>
    <t>28/08/2018</t>
  </si>
  <si>
    <t>Treuil Eric</t>
  </si>
  <si>
    <t>2 déclarations CFD, belle journée</t>
  </si>
  <si>
    <t>26/08/2018</t>
  </si>
  <si>
    <t>Plusieurs sites Bourgogne</t>
  </si>
  <si>
    <t>Plan B du treuil Amponville, belle journée, jérome fait 1300 m pour la premiere fois, Yann 75 km</t>
  </si>
  <si>
    <t>25/08/2018</t>
  </si>
  <si>
    <t>Nicolas</t>
  </si>
  <si>
    <t>super journée avec un vent pile poil ce qu il faut jusqu au couché de soleil. passage d Antifer pour la première fois</t>
  </si>
  <si>
    <t>19/08/2018</t>
  </si>
  <si>
    <t>Amponville</t>
  </si>
  <si>
    <t>15/08/2018</t>
  </si>
  <si>
    <t>14/08/2018</t>
  </si>
  <si>
    <t>Le mont de la clique</t>
  </si>
  <si>
    <t>Très belle journée, Régis en belgique !</t>
  </si>
  <si>
    <t>Plusieurs cross, de beaux vols. Météo favorable, ciel de traine. Attention à la dérive dans les EA par vent de SO dès qu'on dépasse les 75 km</t>
  </si>
  <si>
    <t>Cédric</t>
  </si>
  <si>
    <t>Un peu faible mais de bons créneaux de vols . Reposes tantôt en haut tantôt en bas</t>
  </si>
  <si>
    <t>30/07/2018</t>
  </si>
  <si>
    <t>De beaux cums, cyclique et vent pas tjrs bien axé. 2 extractions et petits cross</t>
  </si>
  <si>
    <t>21/07/2018</t>
  </si>
  <si>
    <t>Quelques beaux cross des covoitureurs</t>
  </si>
  <si>
    <t>17/07/2018</t>
  </si>
  <si>
    <t>des plaf à 2000 m mais fallait partir au bon moment, petits vols et un cross de 118 km</t>
  </si>
  <si>
    <t>14/07/2018</t>
  </si>
  <si>
    <t>La belle idée</t>
  </si>
  <si>
    <t xml:space="preserve">Sortie treuil LADS en autonomie totale- Bons treuilleurs ( Nico et Dimitri).qq pbs materiel liés au treuil </t>
  </si>
  <si>
    <t>Pas de vent, pas de vol, previ météo fausses</t>
  </si>
  <si>
    <t>belle journée thermodynamique avec cross de 10 et 30 km, et vols sur site</t>
  </si>
  <si>
    <t>23 juin au 1 Juillet</t>
  </si>
  <si>
    <t>Sortie organisée par le PARACLUB PSA LG et proposée aux ADS via YMT: 4 ADS presents
Du Lundi au Vendredi, stages en ecole (Perf et Init cross) a Annecy et Samoens
Les WE autour, vol en autonomie sur Annecy, Samoens et Mieussy
Semaine compliquée due au vent de NE. Quelques cross d'environ 20 km réalisés.</t>
  </si>
  <si>
    <t>30/06/2018</t>
  </si>
  <si>
    <t>Planfait</t>
  </si>
  <si>
    <t>Quelques vols de distance, bonnes conditions sur les 3 jours</t>
  </si>
  <si>
    <t>Un ciel de rêve, on y a cru, mais vent faible et travers droit. Fallait pas rater les rares cycles. Fléchette</t>
  </si>
  <si>
    <t>24/06/2018</t>
  </si>
  <si>
    <t>Du Malay tout craché. Ca vole, mais voilé, thermiques décevants. Devient teigneux et rafaleux. Un gros vrac qui finit dans les arbres. Pas de mal. Le champ de devant est moisonné</t>
  </si>
  <si>
    <t>16 au 22 juin</t>
  </si>
  <si>
    <t>Super semaine tout plein de petits cross</t>
  </si>
  <si>
    <t>20/06/2018</t>
  </si>
  <si>
    <t>le grand bornand</t>
  </si>
  <si>
    <t>Pas des super conditions en 1ere moitié de semaine mais ensuite des vols sympa tout de meme avec les crecerelles</t>
  </si>
  <si>
    <t>Une bonne journée dans des conditions un peu toniques</t>
  </si>
  <si>
    <t>belle journée avec initiation delta</t>
  </si>
  <si>
    <t>Equihen</t>
  </si>
  <si>
    <t>La loose complète : visibilité très réduite, vent de travers, crachin</t>
  </si>
  <si>
    <t>belle journée ensoleillée, pas du grand bar mais sympa tout de meme</t>
  </si>
  <si>
    <t>Session d'une heure dans du thermique sympathique qui s'est déclenché seulement à partir de 16h et qui durait encore quand on est partis, bon choix pour cette journée</t>
  </si>
  <si>
    <t>belle journéee ensoleillée avec vols a la clé et formation treuil</t>
  </si>
  <si>
    <t>27/05/2018</t>
  </si>
  <si>
    <t>Marais baro, vents faibles. 45 mn volable sur Grenois en Sud, puis 45 mn volable à Asnan en Ouest. Disons qu'on y est pas allé pour rien...</t>
  </si>
  <si>
    <t>25/05/2018</t>
  </si>
  <si>
    <t>Vent faible, de bons cycles. Pas d'extraction. Découverte du site pour certains. Belle journée avec des cums</t>
  </si>
  <si>
    <t>20/05/2018</t>
  </si>
  <si>
    <t>Développements un peu rapides jusqu'à averses puis ciel bleu. Tout le monde a volé. Beaux plafs, quelques cross avant la pluie</t>
  </si>
  <si>
    <t>19/05/2018</t>
  </si>
  <si>
    <t>Tous les cadors présents. Cyclique, Extraction difficile mais grosse journée de cross</t>
  </si>
  <si>
    <t>Journée moyenne. Vent Nord voir NO. Aérologie turbulente.</t>
  </si>
  <si>
    <t>13/05/2018</t>
  </si>
  <si>
    <t>OTAN</t>
  </si>
  <si>
    <t>Une prevision moyenne pour une très belle journée de vol ensoleillée.</t>
  </si>
  <si>
    <t>Belle journée, un poil Nord-Est et turbulent l'après-midi, superbe réstit</t>
  </si>
  <si>
    <t>Quend plage</t>
  </si>
  <si>
    <t>Gonflage et vol de dune, belle journée</t>
  </si>
  <si>
    <t>4 mai au 13 mai</t>
  </si>
  <si>
    <t>phil G</t>
  </si>
  <si>
    <t>Marlens le matin, Montmin l'après-midi. Une semaine bien meilleure que ce qu'en disaient les prévivisions météo.</t>
  </si>
  <si>
    <t>st hil et annecy</t>
  </si>
  <si>
    <t>Sortie club Alpes du Nord, basé à St Hilaire (st hil, montlambert, chamoux, allevard) et annecy (marlens et montmin) très belle semaine</t>
  </si>
  <si>
    <t>28/04/2018</t>
  </si>
  <si>
    <t>Belle Idée</t>
  </si>
  <si>
    <t>Formation treuil pour nico, et dimitri  par Jean Louis  des Canards. 5 treuillés chacun</t>
  </si>
  <si>
    <t>22/04/2018</t>
  </si>
  <si>
    <t>On a tenté Looze, mais vent trop sud et faible. Brion nous a sauvé la journée. Belle ap midi sur site avec plus de 2H de vol sympa</t>
  </si>
  <si>
    <t>21/04/2018</t>
  </si>
  <si>
    <t>Puy de Dome</t>
  </si>
  <si>
    <t>Excellent le samedi, 50 bornes pour Dimitri et Eric, plus classique le dimanche.</t>
  </si>
  <si>
    <t>la Roquette</t>
  </si>
  <si>
    <t>JC+Louis+Nolber+Matthieu(+5 du team pidf) à la Roquette; du vol local avec une journée bien moins fumante que les prévis météo ne le laissaient penser</t>
  </si>
  <si>
    <t>15/04/2018</t>
  </si>
  <si>
    <t xml:space="preserve">Formation treuil pour nico, dimitri et le zèbre par Christophe des Canards. </t>
  </si>
  <si>
    <t>13/04/2018</t>
  </si>
  <si>
    <t>Très belle journée. Un ciel de rêve avec des cums. Quelques beaux cross et des heures de vol jusqu'au soir</t>
  </si>
  <si>
    <t>à remplir le zebre</t>
  </si>
  <si>
    <t>formation treuil pour nico et dimitri par Jean Louis des Canards. Premiers vols au treuil pour Xavier et Lionel. Une journée sympa avec l'ecole piaf sur le site.</t>
  </si>
  <si>
    <t>Courcouronnes session du lever du soleil au coucher du soleil, SE annoncé mais finalement beaucoup d'E. Avec Khokha, Bertrand, Momtchil, DominiqueZ,Denis,MarcA,Jérôme,StéphaneD</t>
  </si>
  <si>
    <t>Rosoy</t>
  </si>
  <si>
    <t>ça volait plusieurs heures mais c'était assez fort</t>
  </si>
  <si>
    <t>24/03/2018</t>
  </si>
  <si>
    <t>Sortie club organisée par le Zebre. Super semaine de vol local, thermique ou meme cross, avec les vautours. Quelques journées avant et apres a remplir par domz.</t>
  </si>
  <si>
    <t>21/03/2018</t>
  </si>
  <si>
    <t>cross pour Guy et Stéphane, vol local pour Jean-Claude et Claude; beau temps, vent bien orienté mais assez rafaleux; comme d'hab, qd ça vole à Rigny, il y a du monde...</t>
  </si>
  <si>
    <t xml:space="preserve">Anouar et Noël, fort au déco, fort en l’air, masse d’air désagréable , vols écourtés </t>
  </si>
  <si>
    <t>Trechy</t>
  </si>
  <si>
    <t>une assez bonne session ensolleillée avec soleil mais masse d'air pas top dans l'aprem</t>
  </si>
  <si>
    <t>27/02/2018</t>
  </si>
  <si>
    <t>Très froid avec neige en l'air mais bien couvert, ça a volé toute la journée avec extractions</t>
  </si>
  <si>
    <t>16/02/2018</t>
  </si>
  <si>
    <t xml:space="preserve">Faible en vent, pas du grand Rosoy mais belle journée d'hiver pour aérer le chiffon </t>
  </si>
  <si>
    <t>27/01/2018</t>
  </si>
  <si>
    <t>Gonflage et butte à courcouronnes avec JM, Dimitri et Noël</t>
  </si>
  <si>
    <t>Journée froide mais ensolleillée ou on a pu faire des biplaces et vols solos</t>
  </si>
  <si>
    <t>session rigny accompagné des pilotes des ailes de tonnerre</t>
  </si>
  <si>
    <t>humide, boueux. Petit temps de vol du fait de la pluie qui a demarré peu de temps après chaque deco</t>
  </si>
  <si>
    <t>Total Jours 2017</t>
  </si>
  <si>
    <r>
      <rPr>
        <b/>
        <color rgb="FFFF0000"/>
        <sz val="11.0"/>
      </rPr>
      <t xml:space="preserve">Pour être reportée dans ce tableau une sortie doit avoir été </t>
    </r>
    <r>
      <rPr>
        <b/>
        <color rgb="FFFF0000"/>
        <sz val="11.0"/>
        <u/>
      </rPr>
      <t>annoncée</t>
    </r>
    <r>
      <rPr>
        <b/>
        <color rgb="FFFF0000"/>
        <sz val="11.0"/>
      </rPr>
      <t xml:space="preserve"> et au moins </t>
    </r>
    <r>
      <rPr>
        <b/>
        <color rgb="FFFF0000"/>
        <sz val="11.0"/>
        <u/>
      </rPr>
      <t>2 membres</t>
    </r>
    <r>
      <rPr>
        <b/>
        <color rgb="FFFF0000"/>
        <sz val="11.0"/>
      </rPr>
      <t xml:space="preserve"> des ADS doivent y avoir participé. 
On ajoute la sortie même si cela n'a pas volé et pour une raison d'éthique il est préférable que les vols en sortie ADS soient déclarés à la CFD au club ADS</t>
    </r>
  </si>
  <si>
    <t>très belle aprem. conditions parfaites</t>
  </si>
  <si>
    <t>froid mais bon</t>
  </si>
  <si>
    <t>Noyers/Serein</t>
  </si>
  <si>
    <t>pas assez de vent, ploufs et bons vols quand même</t>
  </si>
  <si>
    <t>La Réunion</t>
  </si>
  <si>
    <t>Pas de chance MTO mitigé, compliqué de voler sur cette ile, aérologie pas simple, faut se lever tot, ploufs améliorés</t>
  </si>
  <si>
    <t>trés belle aprem. tout le monde a bien volé.</t>
  </si>
  <si>
    <t>Chezy sur Marne</t>
  </si>
  <si>
    <t>Vent trop faible, belle ap midi au soleil: gonflage, qques ploufs, débrousaillage</t>
  </si>
  <si>
    <t>ste Adresse</t>
  </si>
  <si>
    <t>Bon rendement, décollage "du bas", repose au déco compliquée du fait du rendement. Bonne après midi de vol.</t>
  </si>
  <si>
    <t>vent fort+thermiques, puis baisse un peu. de beaux petits vols.</t>
  </si>
  <si>
    <t>beaucoup (trop) de monde, ambiance "fête de la ligue". belle aprem de vol pour tous malgré un incident. Cf la page REX du club</t>
  </si>
  <si>
    <t>Toujours l'été indien et un spectacle magnifique à Grenois en cette saison. Trop fort au début puis belles séances de vols  en décollant de la pente école. 10 Ailes au max.</t>
  </si>
  <si>
    <t>Belle journée, flux de sud, 20 en moyenne. Ca a volé toute l'aprem, beaucoup de monde en l'air avec priorité hasardeuse de quelques pilotes...</t>
  </si>
  <si>
    <t>excellent Grenois, été indien, thermiques doux et belle lumière</t>
  </si>
  <si>
    <t>Dynamique, rafales de 15 à 25km/H tout l'ap-midi. Du Gonflage avec la mini voile et qqes micro vols. Bonne entraide et la banane malgré tout. plus calme en fin d'apres midi.</t>
  </si>
  <si>
    <t>Dolomites</t>
  </si>
  <si>
    <t>Bonnes conditions, 6 jours volables sur 6 avec des vols de durée et des records persos sur un site magnifique</t>
  </si>
  <si>
    <t>st André et alentours</t>
  </si>
  <si>
    <t>Sortie club une magnifique semaine, tout le monde a la banane !</t>
  </si>
  <si>
    <t>Belle journée, un peu travers, ça s'est renforcé en fin d'aprem, tout le monde a volé avec plusieurs extractions et départ cross</t>
  </si>
  <si>
    <t>petit et cyclique mais tout le monde a volé. Quelques extractions/flechettes</t>
  </si>
  <si>
    <t>Aprem treuil chez les Canards, 2 vols chacuns, bonne ambiance</t>
  </si>
  <si>
    <t>Villers sur mer</t>
  </si>
  <si>
    <t xml:space="preserve">belle journée de bord de mer, 25 de vent avec rafales à l arrivée, après attente d un vent un peu moins fort a faiblit assez rapidement </t>
  </si>
  <si>
    <t>belle journée. qques cross et du vol/site</t>
  </si>
  <si>
    <t>Soaring bord de mer, vent O, 15-20km/h de vent, ensoleillé =&gt; conditions idéales. Tout le monde a volé, plusieurs fois. Très sympa.</t>
  </si>
  <si>
    <t>trop de vent, on n'a pas sorti les ailes</t>
  </si>
  <si>
    <t>Un peu travers (OSO), un peu voilé, mais belle journée. cross 33km</t>
  </si>
  <si>
    <t>Soaring bord de mer, vent ONO, 15-20km/h de vent, plutôt ensoleillé =&gt; conditions idéales. Tout le monde a volé, plusieurs fois. Très sympa.</t>
  </si>
  <si>
    <t>Montmin</t>
  </si>
  <si>
    <t>decouverte de ce site mythique pour l'un des 2...</t>
  </si>
  <si>
    <t>Bon WE à Samoens, pas mal de vols thermiques</t>
  </si>
  <si>
    <t>Soaring bord de mer, petites conditions, un peu désaxé, 1 h de vol max, quelques ploufs</t>
  </si>
  <si>
    <t>Stage Init Cross avec Pegase Air Samoens en contexte sortie Entreprises SAFRAN/PSA - 2 belles journées avant le stage au saleve et a Samoens  puis 2 belles journées de stage avec des beaux vols de duree avant une fin de semaine un peu maussade</t>
  </si>
  <si>
    <t>Partis pour Bar, trop fort, on va à Vix et on sauve la journée. 2 cross de 31 et 35 km</t>
  </si>
  <si>
    <t>bof, travers nord et refaleux, on a voleté, un incident déclaré dans la page REX du club</t>
  </si>
  <si>
    <t>Treuil avec Delta Velum ???</t>
  </si>
  <si>
    <t>Echec, voiture en panne, on se rabat sur Malay ou Yann était déjà, Nico fera 2 ploufs, Cédric et Dimitri ne volent pas, pendant que Yann enchaine les reposes au déco. On est pas tous faits pareil !</t>
  </si>
  <si>
    <t>La belle Idée</t>
  </si>
  <si>
    <t>Journée initiation treuil 10 ADS, 9 qui ont treuillés (un  est juste passé pour gonflage), 3 ou 4 vols chacun. Grosses extractions à Pasly mais peu de tours dans le thermique chez nous --&gt; pilotes pas doués ? Pas assez de gaz ? Pas assez de contraste au sol (champs tous verts) ?</t>
  </si>
  <si>
    <t xml:space="preserve">C'est là qu'il fallait être! 4 extractions avec vols entre 21 à 80 km. Plaf jusqu'à 1600m. </t>
  </si>
  <si>
    <t>Leger travers (OSO) mais belle journée. 20-25km/h. vol en voiles standard de 13h a 18h. Puis ca s'est eteint</t>
  </si>
  <si>
    <t>un peu travers (OSO) mais belle journée. cela a forcit en fin d'aprem &gt; vol en mini-voiles</t>
  </si>
  <si>
    <t>treuil Egreville</t>
  </si>
  <si>
    <t>on part tous les 3 en cross, une premiere pour Dom F, pas loin des 20 km, belle journée malgré la galere récup sans tel et sans trouver la voiture</t>
  </si>
  <si>
    <t>Puy-de-Dome</t>
  </si>
  <si>
    <t>Deux journées assez turbulentes, avec un vent S/SE très faible mais forte activité thermique, vols de durée sur site</t>
  </si>
  <si>
    <t>Un peu turbulent sur site, travers gauche, mais 4 traces CFD entre 17 et 40 km, plaf 1700</t>
  </si>
  <si>
    <t>Belle journée mais essentiellement des ploufs. Peu de vent et on a pas été bons ...</t>
  </si>
  <si>
    <t>Algodonalés et ses alentours</t>
  </si>
  <si>
    <t>plan B de la sortie alpine, pas volable tous les jours mais un très bon séjour malgré tout</t>
  </si>
  <si>
    <t>Lac LERY POSES</t>
  </si>
  <si>
    <t>SIV avec plaine altitude, 9 vols/personne en 5 jours, tout le monde content</t>
  </si>
  <si>
    <t>très belle aprem de vol sans interruption</t>
  </si>
  <si>
    <t>Villers sur Mer</t>
  </si>
  <si>
    <t>vols de durée en local, 1h et plus pour tout le monde</t>
  </si>
  <si>
    <t>St Hil</t>
  </si>
  <si>
    <t>pas des supers conditions, mais vols 3 jours sur 4</t>
  </si>
  <si>
    <t>Belle journée, beaucoup de pilotes jusqu'à la mer</t>
  </si>
  <si>
    <t>c'était risqué, on le savait , on a tenté, on n'a pas gagné, que des ploufs pratiquement</t>
  </si>
  <si>
    <t>Journée correcte annoncée à Chamery, d’autres sont allés à Houéville, pas franchement meilleur mais beaucoup plus loin. On est parti avec Patrice Mollie (Volgang) et une pilote tchèque de passage à Paris, Sonia.
Les conditions sur site étaient annoncées bonnes toute la journée, en fait il fallait décoller avant midi. Je décolle à 12h30 et sort facilement mais fais un plaf modéré (1250) et trouve difficilement des thermiques dignes de ce nom. Ca manque aussi de nuages, et je suis réduit à cheminer aux nuelles. Je pose après 46km. Ceux qui décolleront après moi font encore moins bien (Patrice et Sonia 20 km, Pascal décollant encore plus tard ne s’extraie pas).</t>
  </si>
  <si>
    <t>St Moré</t>
  </si>
  <si>
    <t>Du soleil, du vent et des thermiques. Tonique. plaf 1350. Cross de 56 et 20</t>
  </si>
  <si>
    <t>Courtpalay Treuil</t>
  </si>
  <si>
    <t>séance de treuil avec le DeltaVelumLutéce. Epique.</t>
  </si>
  <si>
    <t>Belle séance de soaring pour nous tous entre Villers et Houlgate, dans des conditions idéales</t>
  </si>
  <si>
    <t>martin 354</t>
  </si>
  <si>
    <t>Orbigny</t>
  </si>
  <si>
    <t>fallait réussir à s'extraire ! cross de 62 km atéro vierzon</t>
  </si>
  <si>
    <t>belle journée ensoleillée, mais des supers conditions, mais bien quand même</t>
  </si>
  <si>
    <t>Champagne</t>
  </si>
  <si>
    <t>Tentative de treuil à Villeneuve Renneville avec Champagne Vol Libre. Recalés! mauvaise com de la part de cvl + Louis et Jérôme jamais fait de treuil rédhibitoire..</t>
  </si>
  <si>
    <t>sortie club en Andalousie (Jabalcon, Yelmo, Loja, Cenes de la Vega) organisée par JPP. De beaux vols et une visite culinaire de la region.</t>
  </si>
  <si>
    <t>superbe</t>
  </si>
  <si>
    <t>Doué</t>
  </si>
  <si>
    <t>Gonflage amélioré, vent soutenu. 2 ADS reculés dans les barbelés, dont un bléssé :-( incident déclaré dans la page REX du club</t>
  </si>
  <si>
    <t>Au soleil, des cums mais vent trop faible. Des cycles feiblards</t>
  </si>
  <si>
    <t xml:space="preserve">St Martin </t>
  </si>
  <si>
    <t>belle journée, Jusqu'à 3h de vol et 2 cross 13 et 18 km</t>
  </si>
  <si>
    <t>trop faible, trop travers, pas décollé</t>
  </si>
  <si>
    <t>Très belle journée, tout le monde a bien volé et 2 cross 28 et 69 km</t>
  </si>
  <si>
    <t>Fismes</t>
  </si>
  <si>
    <t>Belle journée, beaucoup de monde et quelques incidents (Hors ADS!)</t>
  </si>
  <si>
    <t>Bonne journée de début printemps, bonne instabilité, tonique, des cums, tout le monde a bien volé et plaf 1200, 2 cross 26 et 27 km</t>
  </si>
  <si>
    <t>Algo et alentours</t>
  </si>
  <si>
    <t>sortie club sous la houlette du Zebre. superbe à tout point de vue</t>
  </si>
  <si>
    <t>Au top, grand soleil, vent nickel mieux que les prev. Plaf 1200 pour Régis et Martin, 3h de vol pour les autres</t>
  </si>
  <si>
    <t>Noyers/Clorges</t>
  </si>
  <si>
    <t>un peu de monde mais très belle journee</t>
  </si>
  <si>
    <t>soleil glacial et vent parfait, plaf à 500m</t>
  </si>
  <si>
    <t>trés froid, trés bon, plus de 3 h sous l'aile au sol et en l'air</t>
  </si>
  <si>
    <t>Total jours de sortie</t>
  </si>
  <si>
    <r>
      <rPr>
        <b/>
        <color rgb="FFFF0000"/>
        <sz val="11.0"/>
      </rPr>
      <t xml:space="preserve">Pour être reportée dans ce tableau une sortie doit avoir été </t>
    </r>
    <r>
      <rPr>
        <b/>
        <color rgb="FFFF0000"/>
        <sz val="11.0"/>
        <u/>
      </rPr>
      <t>annoncée</t>
    </r>
    <r>
      <rPr>
        <b/>
        <color rgb="FFFF0000"/>
        <sz val="11.0"/>
      </rPr>
      <t xml:space="preserve"> et au moins </t>
    </r>
    <r>
      <rPr>
        <b/>
        <color rgb="FFFF0000"/>
        <sz val="11.0"/>
        <u/>
      </rPr>
      <t>2 membres</t>
    </r>
    <r>
      <rPr>
        <b/>
        <color rgb="FFFF0000"/>
        <sz val="11.0"/>
      </rPr>
      <t xml:space="preserve"> des ADS doivent y avoir participé. 
On ajoute la sortie même si cela n'a pas volé et pour une raison d'éthique il est préférable que les vols en sortie ADS soient déclarés à la CFD au club ADS</t>
    </r>
  </si>
  <si>
    <t>n'en parlons plus...</t>
  </si>
  <si>
    <t>on a volé. travers droit (trop d'ouest). pas la top journée...</t>
  </si>
  <si>
    <t>une quinzaine d'ailes sur site - vent léger travers - conditions moyennes - 4h à jouer voir plus pour l'un d'entre nous</t>
  </si>
  <si>
    <t>La roquette</t>
  </si>
  <si>
    <t>Belle journée mais que des ploufs. Vent de travers / Prev. Plafon 500m</t>
  </si>
  <si>
    <t>beaucoup de monde mais belle journée de vol</t>
  </si>
  <si>
    <t>comme souvent à Bonneil il fallait être là tôt pour profiter du creneau. 1h30 de vol pour les plus matinaux..</t>
  </si>
  <si>
    <t>Pas du Grand Rigny d'après les habitués: vent faible mais rafaleux, beaucoup de pilotes (jusqu'a 30 au milieu de l'après midi). Quelques situations "tendues" (proximités voire contacts entre ailes et pilotes en l'air). Quelques cycles ont permis d'aller survoller la foret. Dont le dernier juste avant la nuit. Ces quelques chanceux ont pu beneficier du meilleur cycle et d'un peu de solitude.</t>
  </si>
  <si>
    <t>froid mais volant!</t>
  </si>
  <si>
    <t>La Comté</t>
  </si>
  <si>
    <t>La comté joli ciel, pas bien exploité, mais jolie journée pour un 2 novembre</t>
  </si>
  <si>
    <t>29-31/10/2016</t>
  </si>
  <si>
    <t>Passy/Chamonix</t>
  </si>
  <si>
    <t>Rando parapente.Temps superbe Vols Sympas</t>
  </si>
  <si>
    <t xml:space="preserve">pas de cross. vol/site plutot sympa vers 12h puis un peu travers. </t>
  </si>
  <si>
    <t>La heve et Octeville</t>
  </si>
  <si>
    <t>La heve:  vol bord de mer. decolages vent fort depuis deco haut falaise en minivoile ou depuis l'aterro. Vers 15h le vent faiblit et decolages depuis deco falaise.
Octeville: Vent Fort: deco depuis deco bas pour un petit vol jusqu'a la nuit</t>
  </si>
  <si>
    <t>Du tout bon grenois d'automne, des heures de vol</t>
  </si>
  <si>
    <t>Bar</t>
  </si>
  <si>
    <t>pas de cross. vol/site plutot sympa</t>
  </si>
  <si>
    <t>ni bon ni mauvais. Pas du grand Lalandelle.</t>
  </si>
  <si>
    <t>pas si mal pour la saison...</t>
  </si>
  <si>
    <t>Belle ID</t>
  </si>
  <si>
    <t xml:space="preserve">Fête de la ligue. 22 baptêmes ADS au treuil </t>
  </si>
  <si>
    <t>Grenois_Asnan</t>
  </si>
  <si>
    <t>Top, des rues de cum! Régis fait plus de 200 km, bien moins pour les autres mais des records perso battus</t>
  </si>
  <si>
    <t>Bien alimenté pour un vent annoncé faible. Plaf 1200, 3 petits cross de 15 à 20 km</t>
  </si>
  <si>
    <t xml:space="preserve">grenois </t>
  </si>
  <si>
    <t xml:space="preserve">2 X 2 ploufs vent 25 à 30km/h S SE </t>
  </si>
  <si>
    <t>Ardéche</t>
  </si>
  <si>
    <t>conditions moyennes mais ambiance sympa. beaux vols du soir</t>
  </si>
  <si>
    <t>Magic Puy de Dôme (point de vue XavP)</t>
  </si>
  <si>
    <t>longue attente mais belle recompense en 2nde partie d'après midi</t>
  </si>
  <si>
    <t>Après l'orage, bonnes séances de vol, de 15H00 à... 20H00</t>
  </si>
  <si>
    <t>Henouville</t>
  </si>
  <si>
    <t>journée au grand air mais que des ploufs</t>
  </si>
  <si>
    <t>Annoncé fort ENE mais finalement NE volable. 1 vol de plus de 1h30 et des ploufs ralentis.</t>
  </si>
  <si>
    <t>Pétole, 1 ou 2 ploufs chacun (mini 3mn, maxi 10mn)</t>
  </si>
  <si>
    <t>des cross</t>
  </si>
  <si>
    <t>2j de vol</t>
  </si>
  <si>
    <t>Les 2 amants</t>
  </si>
  <si>
    <t>Rappel cruel qu'on n'est pas tous égaux dans des conditions délicates + fortes contraintes de timing pour ZA. Entre tas et 9H30 de vol, &gt;300 km (MM)</t>
  </si>
  <si>
    <t>nickel</t>
  </si>
  <si>
    <t>Grand Bornand</t>
  </si>
  <si>
    <t>Sortie Crecelles pour Back to grand Bo.Beau chalet, beau site, Beau temps</t>
  </si>
  <si>
    <t>2 amants</t>
  </si>
  <si>
    <t>bon et cyclique</t>
  </si>
  <si>
    <t>SAint MArtin</t>
  </si>
  <si>
    <t>Il fallait être patient mais ça a fini par le faire</t>
  </si>
  <si>
    <t>Excellent, des vols tous les jours. Sortie Snecma</t>
  </si>
  <si>
    <t>Excellent</t>
  </si>
  <si>
    <t>2 jours volables sur 3, sinon très chaud et assez stable. Très sympa.</t>
  </si>
  <si>
    <t>Samedi passable, Dimanche correct</t>
  </si>
  <si>
    <t>gris mais cela à volé</t>
  </si>
  <si>
    <t>Noyers vent trop faible, rabattu sur St Martin et ça l'a bien fait, journée sauvée</t>
  </si>
  <si>
    <t>Grenois pour les journées découvertes. Petites conditions mais ojbectifs de vols plus ou moins remplis par chacun.</t>
  </si>
  <si>
    <t>Très belle journée. Plusieurs vols CFD</t>
  </si>
  <si>
    <t>Sancerre</t>
  </si>
  <si>
    <t>Journée pas top. Hélico qui faisait des baptêmes et rotations, vent faiblard souvent travers droit.</t>
  </si>
  <si>
    <t>Finalement journée Tip Top ! bcp de monde et de vols jusqu'à tard dans la soirée :) !</t>
  </si>
  <si>
    <t>Belles conditions malgré vent fort le 16. Beaux vols avec un vol de groupe( petit tour du lac)</t>
  </si>
  <si>
    <t>Belle journée mais globalement vent trop fort avant de tomber d'un coup. Sympa avec des vols pour tout le monde</t>
  </si>
  <si>
    <t>Mont Saint père</t>
  </si>
  <si>
    <t>belle aprem</t>
  </si>
  <si>
    <t>belle journée mais moyennement volable</t>
  </si>
  <si>
    <t>BonBar</t>
  </si>
  <si>
    <t>Ca dépend pour qui : de pas génial à superbe</t>
  </si>
  <si>
    <t>Cyclique, un peu ouest, Au mois 3 vols chacun du déco N</t>
  </si>
  <si>
    <t>Baulme-la-roche</t>
  </si>
  <si>
    <t>3 beaux cross</t>
  </si>
  <si>
    <t>super!</t>
  </si>
  <si>
    <t>Pourri</t>
  </si>
  <si>
    <t>1 journée sans, 1 journée avec</t>
  </si>
  <si>
    <t>Pas mal.</t>
  </si>
  <si>
    <t>Pyla</t>
  </si>
  <si>
    <t>Stage Waggas School.Très bien le 3ieme jour.Conditions moyennes les 2 premiers</t>
  </si>
  <si>
    <t>du trés bon St Martin</t>
  </si>
  <si>
    <t>?</t>
  </si>
  <si>
    <t>dune du Pyla</t>
  </si>
  <si>
    <t>fort puis chute brutale en fin d'aprem. un peu de gonflage</t>
  </si>
  <si>
    <t>Port a Binson</t>
  </si>
  <si>
    <t>Moyen</t>
  </si>
  <si>
    <t>Belle journée, plusieurs créneaux volables, journée technique because petites conditions...</t>
  </si>
  <si>
    <t>Tréchy</t>
  </si>
  <si>
    <t>du tréchy turbulent mais gérable</t>
  </si>
  <si>
    <t>très belle journée</t>
  </si>
  <si>
    <t>très jolie région mais technique, martin 41km</t>
  </si>
  <si>
    <t>Baché, humide, mais vent dans l'axe pour un soaring tout doux</t>
  </si>
  <si>
    <t>la loose</t>
  </si>
  <si>
    <t>magnifique journée</t>
  </si>
  <si>
    <t xml:space="preserve">Soleil et vent soutenu. Chaudron ON a partir de 12h. quelques cross, quelques frayeurs. </t>
  </si>
  <si>
    <t>Ni soleil ni thermique mais du vent</t>
  </si>
  <si>
    <t>Bien sans le soleil annoncé.</t>
  </si>
  <si>
    <t>Bien</t>
  </si>
  <si>
    <t>Bien pour certains. Cycles forts. Qq départs en cross. Entre 2 et 60 km</t>
  </si>
  <si>
    <t>L pour L</t>
  </si>
  <si>
    <t>Bien, voir super bien. Régis fait 91 km</t>
  </si>
  <si>
    <t>cyclique mais bon</t>
  </si>
  <si>
    <t>Pas mal pour la saison</t>
  </si>
  <si>
    <t>Un bon Rigny</t>
  </si>
  <si>
    <t>OK</t>
  </si>
  <si>
    <t>Noyers</t>
  </si>
  <si>
    <t>Noyers les Vautours. Magnifique journée.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</si>
</sst>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mm/dd/yyyy"/>
    <numFmt numFmtId="166" formatCode="mm/dd/yy"/>
    <numFmt numFmtId="167" formatCode="m/d/yyyy"/>
    <numFmt numFmtId="168" formatCode="dd/mm/yyyy"/>
    <numFmt numFmtId="169" formatCode="d/m/yyyy"/>
    <numFmt numFmtId="170" formatCode="d/m"/>
    <numFmt numFmtId="171" formatCode="dd/MM/yyyy"/>
  </numFmts>
  <fonts count="13">
    <font>
      <sz val="10.0"/>
      <color rgb="FF000000"/>
      <name val="Arial"/>
    </font>
    <font>
      <b/>
      <sz val="11.0"/>
    </font>
    <font>
      <b/>
      <sz val="11.0"/>
      <color rgb="FFFF0000"/>
    </font>
    <font>
      <b/>
      <sz val="10.0"/>
      <color rgb="FFFF0000"/>
    </font>
    <font>
      <b/>
      <sz val="14.0"/>
    </font>
    <font>
      <sz val="10.0"/>
    </font>
    <font/>
    <font>
      <b/>
    </font>
    <font>
      <color rgb="FF000000"/>
      <name val="Arial"/>
    </font>
    <font>
      <sz val="11.0"/>
    </font>
    <font>
      <sz val="11.0"/>
      <name val="Arial"/>
    </font>
    <font>
      <sz val="11.0"/>
      <color rgb="FF000000"/>
    </font>
    <font>
      <sz val="11.0"/>
      <color rgb="FF000000"/>
      <name val="Arial"/>
    </font>
  </fonts>
  <fills count="5">
    <fill>
      <patternFill patternType="none"/>
    </fill>
    <fill>
      <patternFill patternType="lightGray"/>
    </fill>
    <fill>
      <patternFill patternType="solid">
        <fgColor rgb="FFFFFF00"/>
        <bgColor rgb="FFFFFF00"/>
      </patternFill>
    </fill>
    <fill>
      <patternFill patternType="solid">
        <fgColor rgb="FFB6D7A8"/>
        <bgColor rgb="FFB6D7A8"/>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65">
    <xf borderId="0" fillId="0" fontId="0" numFmtId="0" xfId="0" applyAlignment="1" applyFont="1">
      <alignment readingOrder="0" shrinkToFit="0" vertical="bottom" wrapText="1"/>
    </xf>
    <xf borderId="1" fillId="2" fontId="1" numFmtId="3" xfId="0" applyAlignment="1" applyBorder="1" applyFill="1" applyFont="1" applyNumberFormat="1">
      <alignment horizontal="center" readingOrder="0" shrinkToFit="0" wrapText="1"/>
    </xf>
    <xf borderId="1" fillId="2" fontId="1" numFmtId="164" xfId="0" applyAlignment="1" applyBorder="1" applyFont="1" applyNumberFormat="1">
      <alignment horizontal="center" readingOrder="0" shrinkToFit="0" wrapText="1"/>
    </xf>
    <xf borderId="0" fillId="0" fontId="2" numFmtId="0" xfId="0" applyAlignment="1" applyFont="1">
      <alignment horizontal="right" shrinkToFit="0" vertical="top" wrapText="1"/>
    </xf>
    <xf borderId="0" fillId="0" fontId="2" numFmtId="0" xfId="0" applyAlignment="1" applyFont="1">
      <alignment horizontal="center" shrinkToFit="0" vertical="top" wrapText="1"/>
    </xf>
    <xf borderId="0" fillId="0" fontId="3" numFmtId="0" xfId="0" applyAlignment="1" applyFont="1">
      <alignment horizontal="left" readingOrder="0" shrinkToFit="0" vertical="top" wrapText="1"/>
    </xf>
    <xf borderId="1" fillId="3" fontId="1" numFmtId="0" xfId="0" applyAlignment="1" applyBorder="1" applyFill="1" applyFont="1">
      <alignment horizontal="center" readingOrder="0" shrinkToFit="0" wrapText="1"/>
    </xf>
    <xf borderId="1" fillId="3" fontId="1" numFmtId="164" xfId="0" applyAlignment="1" applyBorder="1" applyFont="1" applyNumberFormat="1">
      <alignment horizontal="center" shrinkToFit="0" wrapText="1"/>
    </xf>
    <xf borderId="1" fillId="3" fontId="1" numFmtId="0" xfId="0" applyAlignment="1" applyBorder="1" applyFont="1">
      <alignment horizontal="center" shrinkToFit="0" wrapText="1"/>
    </xf>
    <xf borderId="1" fillId="3" fontId="1" numFmtId="0" xfId="0" applyAlignment="1" applyBorder="1" applyFont="1">
      <alignment horizontal="right" readingOrder="0" shrinkToFit="0" wrapText="1"/>
    </xf>
    <xf borderId="1" fillId="3" fontId="4" numFmtId="0" xfId="0" applyAlignment="1" applyBorder="1" applyFont="1">
      <alignment horizontal="center" shrinkToFit="0" vertical="center" wrapText="1"/>
    </xf>
    <xf borderId="1" fillId="0" fontId="5" numFmtId="0" xfId="0" applyAlignment="1" applyBorder="1" applyFont="1">
      <alignment readingOrder="0" shrinkToFit="0" vertical="center" wrapText="1"/>
    </xf>
    <xf borderId="1" fillId="4" fontId="5" numFmtId="165" xfId="0" applyAlignment="1" applyBorder="1" applyFill="1" applyFont="1" applyNumberFormat="1">
      <alignment horizontal="left" readingOrder="0" shrinkToFit="0" vertical="center" wrapText="1"/>
    </xf>
    <xf borderId="1" fillId="0" fontId="5"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4" fontId="5" numFmtId="0" xfId="0" applyAlignment="1" applyBorder="1" applyFont="1">
      <alignment horizontal="left" readingOrder="0" shrinkToFit="0" vertical="center" wrapText="1"/>
    </xf>
    <xf borderId="1" fillId="0" fontId="6" numFmtId="0" xfId="0" applyAlignment="1" applyBorder="1" applyFont="1">
      <alignment readingOrder="0" shrinkToFit="0" wrapText="1"/>
    </xf>
    <xf borderId="0" fillId="0" fontId="6" numFmtId="164" xfId="0" applyAlignment="1" applyFont="1" applyNumberFormat="1">
      <alignment horizontal="center" shrinkToFit="0" wrapText="1"/>
    </xf>
    <xf borderId="0" fillId="0" fontId="6" numFmtId="0" xfId="0" applyAlignment="1" applyFont="1">
      <alignment horizontal="right" shrinkToFit="0" wrapText="1"/>
    </xf>
    <xf borderId="0" fillId="0" fontId="6" numFmtId="0" xfId="0" applyAlignment="1" applyFont="1">
      <alignment horizontal="center" shrinkToFit="0" wrapText="1"/>
    </xf>
    <xf borderId="0" fillId="0" fontId="6" numFmtId="164" xfId="0" applyAlignment="1" applyFont="1" applyNumberFormat="1">
      <alignment horizontal="left" shrinkToFit="0" wrapText="1"/>
    </xf>
    <xf borderId="0" fillId="0" fontId="6" numFmtId="164" xfId="0" applyAlignment="1" applyFont="1" applyNumberFormat="1">
      <alignment horizontal="center" readingOrder="0" shrinkToFit="0" wrapText="1"/>
    </xf>
    <xf borderId="0" fillId="0" fontId="6" numFmtId="0" xfId="0" applyAlignment="1" applyFont="1">
      <alignment horizontal="center" readingOrder="0" shrinkToFit="0" wrapText="1"/>
    </xf>
    <xf borderId="0" fillId="0" fontId="6" numFmtId="1" xfId="0" applyAlignment="1" applyFont="1" applyNumberFormat="1">
      <alignment horizontal="center" shrinkToFit="0" wrapText="1"/>
    </xf>
    <xf borderId="0" fillId="0" fontId="6" numFmtId="0" xfId="0" applyAlignment="1" applyFont="1">
      <alignment horizontal="right" readingOrder="0" shrinkToFit="0" wrapText="1"/>
    </xf>
    <xf borderId="0" fillId="0" fontId="6" numFmtId="0" xfId="0" applyAlignment="1" applyFont="1">
      <alignment horizontal="left" readingOrder="0" shrinkToFit="0" wrapText="1"/>
    </xf>
    <xf borderId="0" fillId="0" fontId="6" numFmtId="164" xfId="0" applyAlignment="1" applyFont="1" applyNumberFormat="1">
      <alignment shrinkToFit="0" wrapText="1"/>
    </xf>
    <xf borderId="0" fillId="0" fontId="6" numFmtId="0" xfId="0" applyAlignment="1" applyFont="1">
      <alignment horizontal="left" shrinkToFit="0" wrapText="1"/>
    </xf>
    <xf borderId="1" fillId="0" fontId="6" numFmtId="0" xfId="0" applyAlignment="1" applyBorder="1" applyFont="1">
      <alignment horizontal="left" readingOrder="0" shrinkToFit="0" wrapText="1"/>
    </xf>
    <xf borderId="1" fillId="0" fontId="6" numFmtId="165" xfId="0" applyAlignment="1" applyBorder="1" applyFont="1" applyNumberFormat="1">
      <alignment horizontal="left" readingOrder="0" shrinkToFit="0" wrapText="1"/>
    </xf>
    <xf borderId="1" fillId="0" fontId="6" numFmtId="0" xfId="0" applyAlignment="1" applyBorder="1" applyFont="1">
      <alignment horizontal="center" readingOrder="0" shrinkToFit="0" wrapText="1"/>
    </xf>
    <xf borderId="1" fillId="4" fontId="5" numFmtId="166" xfId="0" applyAlignment="1" applyBorder="1" applyFont="1" applyNumberFormat="1">
      <alignment horizontal="left" readingOrder="0" shrinkToFit="0" vertical="center" wrapText="1"/>
    </xf>
    <xf borderId="0" fillId="0" fontId="5" numFmtId="0" xfId="0" applyAlignment="1" applyFont="1">
      <alignment horizontal="left" readingOrder="0" shrinkToFit="0" vertical="center" wrapText="1"/>
    </xf>
    <xf borderId="0" fillId="0" fontId="6" numFmtId="165" xfId="0" applyAlignment="1" applyFont="1" applyNumberFormat="1">
      <alignment horizontal="left" readingOrder="0" shrinkToFit="0" wrapText="1"/>
    </xf>
    <xf borderId="0" fillId="0" fontId="7" numFmtId="0" xfId="0" applyAlignment="1" applyFont="1">
      <alignment readingOrder="0" shrinkToFit="0" wrapText="1"/>
    </xf>
    <xf borderId="0" fillId="0" fontId="7" numFmtId="0" xfId="0" applyAlignment="1" applyFont="1">
      <alignment horizontal="left" readingOrder="0" shrinkToFit="0" wrapText="1"/>
    </xf>
    <xf borderId="1" fillId="2" fontId="1" numFmtId="3" xfId="0" applyAlignment="1" applyBorder="1" applyFont="1" applyNumberFormat="1">
      <alignment horizontal="center" shrinkToFit="0" wrapText="1"/>
    </xf>
    <xf borderId="0" fillId="0" fontId="6" numFmtId="0" xfId="0" applyAlignment="1" applyFont="1">
      <alignment readingOrder="0" shrinkToFit="0" wrapText="1"/>
    </xf>
    <xf borderId="1" fillId="0" fontId="7" numFmtId="0" xfId="0" applyAlignment="1" applyBorder="1" applyFont="1">
      <alignment horizontal="center" readingOrder="0" shrinkToFit="0" vertical="center" wrapText="1"/>
    </xf>
    <xf borderId="1" fillId="0" fontId="6" numFmtId="164" xfId="0" applyAlignment="1" applyBorder="1" applyFont="1" applyNumberFormat="1">
      <alignment horizontal="left" readingOrder="0" shrinkToFit="0" vertical="center" wrapText="1"/>
    </xf>
    <xf borderId="1" fillId="0" fontId="6" numFmtId="0" xfId="0" applyAlignment="1" applyBorder="1" applyFont="1">
      <alignment horizontal="left" readingOrder="0" shrinkToFit="0" vertical="center" wrapText="1"/>
    </xf>
    <xf borderId="0" fillId="0" fontId="7" numFmtId="0" xfId="0" applyAlignment="1" applyFont="1">
      <alignment horizontal="right" readingOrder="0" shrinkToFit="0" wrapText="1"/>
    </xf>
    <xf borderId="0" fillId="0" fontId="6" numFmtId="3" xfId="0" applyAlignment="1" applyFont="1" applyNumberFormat="1">
      <alignment horizontal="right" shrinkToFit="0" wrapText="1"/>
    </xf>
    <xf borderId="0" fillId="3" fontId="1" numFmtId="0" xfId="0" applyAlignment="1" applyFont="1">
      <alignment horizontal="center" readingOrder="0" shrinkToFit="0" wrapText="1"/>
    </xf>
    <xf borderId="0" fillId="3" fontId="1" numFmtId="164" xfId="0" applyAlignment="1" applyFont="1" applyNumberFormat="1">
      <alignment horizontal="center" shrinkToFit="0" wrapText="1"/>
    </xf>
    <xf borderId="0" fillId="3" fontId="1" numFmtId="0" xfId="0" applyAlignment="1" applyFont="1">
      <alignment horizontal="center" shrinkToFit="0" wrapText="1"/>
    </xf>
    <xf borderId="0" fillId="3" fontId="1" numFmtId="0" xfId="0" applyAlignment="1" applyFont="1">
      <alignment horizontal="right" readingOrder="0" shrinkToFit="0" wrapText="1"/>
    </xf>
    <xf borderId="0" fillId="3" fontId="4" numFmtId="0" xfId="0" applyAlignment="1" applyFont="1">
      <alignment horizontal="center" shrinkToFit="0" vertical="center" wrapText="1"/>
    </xf>
    <xf borderId="1" fillId="4" fontId="5" numFmtId="166" xfId="0" applyAlignment="1" applyBorder="1" applyFont="1" applyNumberFormat="1">
      <alignment horizontal="center"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horizontal="right" readingOrder="0" shrinkToFit="0" vertical="center" wrapText="1"/>
    </xf>
    <xf borderId="1" fillId="4" fontId="5" numFmtId="0" xfId="0" applyAlignment="1" applyBorder="1" applyFont="1">
      <alignment horizontal="center" readingOrder="0" shrinkToFit="0" vertical="center" wrapText="1"/>
    </xf>
    <xf borderId="1" fillId="4" fontId="5" numFmtId="165" xfId="0" applyAlignment="1" applyBorder="1" applyFont="1" applyNumberFormat="1">
      <alignment horizontal="center" readingOrder="0" shrinkToFit="0" vertical="center" wrapText="1"/>
    </xf>
    <xf borderId="1" fillId="4" fontId="5" numFmtId="167" xfId="0" applyAlignment="1" applyBorder="1" applyFont="1" applyNumberFormat="1">
      <alignment horizontal="center" readingOrder="0" shrinkToFit="0" vertical="center" wrapText="1"/>
    </xf>
    <xf borderId="1" fillId="4" fontId="5" numFmtId="164" xfId="0" applyAlignment="1" applyBorder="1" applyFont="1" applyNumberFormat="1">
      <alignment horizontal="center" readingOrder="0" shrinkToFit="0" vertical="center" wrapText="1"/>
    </xf>
    <xf borderId="0" fillId="0" fontId="2" numFmtId="0" xfId="0" applyAlignment="1" applyFont="1">
      <alignment horizontal="right" readingOrder="0" shrinkToFit="0" vertical="top" wrapText="1"/>
    </xf>
    <xf borderId="0" fillId="0" fontId="5" numFmtId="0" xfId="0" applyAlignment="1" applyFont="1">
      <alignment readingOrder="0" shrinkToFit="0" vertical="center" wrapText="1"/>
    </xf>
    <xf borderId="0" fillId="4" fontId="5" numFmtId="164" xfId="0" applyAlignment="1" applyFont="1" applyNumberForma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right" readingOrder="0" shrinkToFit="0" vertical="center" wrapText="1"/>
    </xf>
    <xf borderId="1" fillId="0" fontId="5" numFmtId="164"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wrapText="1"/>
    </xf>
    <xf borderId="1" fillId="4" fontId="5" numFmtId="0" xfId="0" applyAlignment="1" applyBorder="1" applyFont="1">
      <alignment readingOrder="0" shrinkToFit="0" vertical="center" wrapText="1"/>
    </xf>
    <xf borderId="1" fillId="4" fontId="5" numFmtId="0" xfId="0" applyAlignment="1" applyBorder="1" applyFont="1">
      <alignment readingOrder="0" shrinkToFit="0" wrapText="1"/>
    </xf>
    <xf borderId="0" fillId="0" fontId="6" numFmtId="164" xfId="0" applyAlignment="1" applyFont="1" applyNumberFormat="1">
      <alignment readingOrder="0" shrinkToFit="0" wrapText="1"/>
    </xf>
    <xf borderId="2" fillId="0" fontId="6" numFmtId="164" xfId="0" applyAlignment="1" applyBorder="1" applyFont="1" applyNumberFormat="1">
      <alignment horizontal="center" readingOrder="0" shrinkToFit="0" wrapText="1"/>
    </xf>
    <xf borderId="2" fillId="0" fontId="6" numFmtId="0" xfId="0" applyAlignment="1" applyBorder="1" applyFont="1">
      <alignment readingOrder="0" shrinkToFit="0" wrapText="1"/>
    </xf>
    <xf borderId="2" fillId="0" fontId="6" numFmtId="0" xfId="0" applyAlignment="1" applyBorder="1" applyFont="1">
      <alignment horizontal="right" readingOrder="0" shrinkToFit="0" wrapText="1"/>
    </xf>
    <xf borderId="2" fillId="0" fontId="6" numFmtId="0" xfId="0" applyAlignment="1" applyBorder="1" applyFont="1">
      <alignment horizontal="center" readingOrder="0" shrinkToFit="0" wrapText="1"/>
    </xf>
    <xf borderId="0" fillId="0" fontId="6" numFmtId="1" xfId="0" applyAlignment="1" applyFont="1" applyNumberFormat="1">
      <alignment horizontal="right" shrinkToFit="0" wrapText="1"/>
    </xf>
    <xf borderId="1" fillId="2" fontId="1" numFmtId="0" xfId="0" applyAlignment="1" applyBorder="1" applyFont="1">
      <alignment horizontal="center" readingOrder="0" shrinkToFit="0"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readingOrder="0" shrinkToFit="0" wrapText="1"/>
    </xf>
    <xf borderId="1" fillId="0" fontId="5" numFmtId="166"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right" readingOrder="0" shrinkToFit="0" wrapText="1"/>
    </xf>
    <xf borderId="1" fillId="0" fontId="6" numFmtId="0" xfId="0" applyAlignment="1" applyBorder="1" applyFont="1">
      <alignment shrinkToFit="0" wrapText="1"/>
    </xf>
    <xf borderId="0" fillId="4" fontId="5" numFmtId="0" xfId="0" applyAlignment="1" applyFon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shrinkToFit="0" vertical="center" wrapText="1"/>
    </xf>
    <xf borderId="1" fillId="0" fontId="5" numFmtId="0" xfId="0" applyAlignment="1" applyBorder="1" applyFont="1">
      <alignment horizontal="right" shrinkToFit="0" vertical="center" wrapText="1"/>
    </xf>
    <xf borderId="1" fillId="0" fontId="5" numFmtId="0" xfId="0" applyAlignment="1" applyBorder="1" applyFont="1">
      <alignment shrinkToFit="0" wrapText="1"/>
    </xf>
    <xf borderId="1" fillId="0" fontId="5" numFmtId="167" xfId="0" applyAlignment="1" applyBorder="1" applyFont="1" applyNumberFormat="1">
      <alignment horizontal="center" readingOrder="0" shrinkToFit="0" vertical="center" wrapText="1"/>
    </xf>
    <xf borderId="1" fillId="0" fontId="5" numFmtId="165" xfId="0" applyAlignment="1" applyBorder="1" applyFont="1" applyNumberFormat="1">
      <alignment horizontal="center" readingOrder="0" shrinkToFit="0" vertical="center" wrapText="1"/>
    </xf>
    <xf borderId="0" fillId="4" fontId="8" numFmtId="0" xfId="0" applyAlignment="1" applyFont="1">
      <alignment horizontal="left" readingOrder="0" shrinkToFit="0" wrapText="1"/>
    </xf>
    <xf borderId="1" fillId="0" fontId="5" numFmtId="165" xfId="0" applyAlignment="1" applyBorder="1" applyFont="1" applyNumberFormat="1">
      <alignment readingOrder="0" shrinkToFit="0" wrapText="1"/>
    </xf>
    <xf borderId="1" fillId="0" fontId="5" numFmtId="0" xfId="0" applyAlignment="1" applyBorder="1" applyFont="1">
      <alignment horizontal="center" readingOrder="0" shrinkToFit="0" wrapText="1"/>
    </xf>
    <xf borderId="0" fillId="0" fontId="5" numFmtId="0" xfId="0" applyAlignment="1" applyFont="1">
      <alignment shrinkToFit="0" wrapText="1"/>
    </xf>
    <xf borderId="0" fillId="0" fontId="2" numFmtId="0" xfId="0" applyAlignment="1" applyFont="1">
      <alignment horizontal="center" readingOrder="0" shrinkToFit="0" vertical="top" wrapText="1"/>
    </xf>
    <xf borderId="0" fillId="0" fontId="9" numFmtId="0" xfId="0" applyAlignment="1" applyFont="1">
      <alignment shrinkToFit="0" wrapText="1"/>
    </xf>
    <xf borderId="0" fillId="0" fontId="9" numFmtId="0" xfId="0" applyAlignment="1" applyFont="1">
      <alignment readingOrder="0" shrinkToFit="0" vertical="center" wrapText="1"/>
    </xf>
    <xf borderId="0" fillId="0" fontId="9" numFmtId="0" xfId="0" applyAlignment="1" applyFont="1">
      <alignment horizontal="center" shrinkToFit="0" vertical="center" wrapText="1"/>
    </xf>
    <xf borderId="0" fillId="0" fontId="9" numFmtId="0" xfId="0" applyAlignment="1" applyFont="1">
      <alignment shrinkToFit="0" vertical="center" wrapText="1"/>
    </xf>
    <xf borderId="0" fillId="0" fontId="9" numFmtId="0" xfId="0" applyAlignment="1" applyFont="1">
      <alignment horizontal="center" readingOrder="0" shrinkToFit="0" vertical="center" wrapText="1"/>
    </xf>
    <xf borderId="1" fillId="0" fontId="9" numFmtId="0" xfId="0" applyAlignment="1" applyBorder="1" applyFont="1">
      <alignment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readingOrder="0" shrinkToFit="0" wrapText="1"/>
    </xf>
    <xf borderId="1" fillId="0" fontId="9" numFmtId="166" xfId="0" applyAlignment="1" applyBorder="1" applyFont="1" applyNumberFormat="1">
      <alignment horizontal="center" readingOrder="0" shrinkToFit="0" vertical="center" wrapText="1"/>
    </xf>
    <xf borderId="1" fillId="4" fontId="9" numFmtId="0" xfId="0" applyAlignment="1" applyBorder="1" applyFont="1">
      <alignment readingOrder="0" shrinkToFit="0" wrapText="1"/>
    </xf>
    <xf borderId="1" fillId="0" fontId="9" numFmtId="0" xfId="0" applyAlignment="1" applyBorder="1" applyFont="1">
      <alignment horizontal="left" readingOrder="0" shrinkToFit="0" vertical="center" wrapText="1"/>
    </xf>
    <xf borderId="1" fillId="0" fontId="9" numFmtId="165" xfId="0" applyAlignment="1" applyBorder="1" applyFont="1" applyNumberFormat="1">
      <alignment horizontal="center" readingOrder="0" shrinkToFit="0" vertical="center" wrapText="1"/>
    </xf>
    <xf borderId="1" fillId="0" fontId="10" numFmtId="0" xfId="0" applyAlignment="1" applyBorder="1" applyFont="1">
      <alignment readingOrder="0" shrinkToFit="0" vertical="bottom" wrapText="1"/>
    </xf>
    <xf borderId="1" fillId="0" fontId="9" numFmtId="167" xfId="0" applyAlignment="1" applyBorder="1" applyFont="1" applyNumberFormat="1">
      <alignment horizontal="center" readingOrder="0" shrinkToFit="0" vertical="center" wrapText="1"/>
    </xf>
    <xf borderId="1" fillId="0" fontId="10" numFmtId="0" xfId="0" applyAlignment="1" applyBorder="1" applyFont="1">
      <alignment horizontal="right"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0" fillId="0" fontId="10" numFmtId="0" xfId="0" applyAlignment="1" applyFont="1">
      <alignment shrinkToFit="0" vertical="bottom" wrapText="1"/>
    </xf>
    <xf borderId="1" fillId="4" fontId="9" numFmtId="0" xfId="0" applyAlignment="1" applyBorder="1" applyFont="1">
      <alignment readingOrder="0" shrinkToFit="0" wrapText="1"/>
    </xf>
    <xf borderId="1" fillId="0" fontId="9" numFmtId="167" xfId="0" applyAlignment="1" applyBorder="1" applyFont="1" applyNumberFormat="1">
      <alignment horizontal="center" readingOrder="0" shrinkToFit="0" vertical="center" wrapText="1"/>
    </xf>
    <xf borderId="1" fillId="0" fontId="9" numFmtId="0" xfId="0" applyAlignment="1" applyBorder="1" applyFont="1">
      <alignment readingOrder="0" shrinkToFit="0" wrapText="1"/>
    </xf>
    <xf borderId="1" fillId="4" fontId="11" numFmtId="0" xfId="0" applyAlignment="1" applyBorder="1" applyFont="1">
      <alignment readingOrder="0" shrinkToFit="0" vertical="center" wrapText="1"/>
    </xf>
    <xf borderId="1" fillId="4" fontId="11" numFmtId="0" xfId="0" applyAlignment="1" applyBorder="1" applyFont="1">
      <alignment horizontal="center" readingOrder="0" shrinkToFit="0" vertical="center" wrapText="1"/>
    </xf>
    <xf borderId="1" fillId="0" fontId="12" numFmtId="0" xfId="0" applyAlignment="1" applyBorder="1" applyFont="1">
      <alignment horizontal="left" readingOrder="0" shrinkToFit="0" wrapText="1"/>
    </xf>
    <xf borderId="0" fillId="4" fontId="11" numFmtId="0" xfId="0" applyAlignment="1" applyFont="1">
      <alignment shrinkToFit="0" wrapText="1"/>
    </xf>
    <xf borderId="1" fillId="0" fontId="10" numFmtId="0" xfId="0" applyAlignment="1" applyBorder="1" applyFont="1">
      <alignment horizontal="right" readingOrder="0" shrinkToFit="0" vertical="center" wrapText="1"/>
    </xf>
    <xf borderId="1" fillId="0" fontId="9" numFmtId="165" xfId="0" applyAlignment="1" applyBorder="1" applyFont="1" applyNumberFormat="1">
      <alignment horizontal="center" readingOrder="0" shrinkToFit="0" vertical="center" wrapText="1"/>
    </xf>
    <xf borderId="0" fillId="0" fontId="9" numFmtId="165" xfId="0" applyAlignment="1" applyFont="1" applyNumberFormat="1">
      <alignment horizontal="center" readingOrder="0" shrinkToFit="0" vertical="center" wrapText="1"/>
    </xf>
    <xf borderId="0" fillId="0" fontId="9" numFmtId="0" xfId="0" applyAlignment="1" applyFont="1">
      <alignment readingOrder="0" shrinkToFit="0" wrapText="1"/>
    </xf>
    <xf borderId="0" fillId="0" fontId="9" numFmtId="0" xfId="0" applyAlignment="1" applyFont="1">
      <alignment horizontal="center" readingOrder="0" shrinkToFit="0" wrapText="1"/>
    </xf>
    <xf borderId="0" fillId="0" fontId="9" numFmtId="165" xfId="0" applyAlignment="1" applyFont="1" applyNumberFormat="1">
      <alignment horizontal="center" readingOrder="0" shrinkToFit="0" wrapText="1"/>
    </xf>
    <xf borderId="0" fillId="0" fontId="9" numFmtId="168" xfId="0" applyAlignment="1" applyFont="1" applyNumberFormat="1">
      <alignment horizontal="center" readingOrder="0" shrinkToFit="0" wrapText="1"/>
    </xf>
    <xf borderId="0" fillId="0" fontId="9" numFmtId="168" xfId="0" applyAlignment="1" applyFont="1" applyNumberFormat="1">
      <alignment horizontal="center" shrinkToFit="0" wrapText="1"/>
    </xf>
    <xf borderId="0" fillId="0" fontId="9" numFmtId="0" xfId="0" applyAlignment="1" applyFont="1">
      <alignment shrinkToFit="0" wrapText="1"/>
    </xf>
    <xf borderId="0" fillId="0" fontId="9" numFmtId="168" xfId="0" applyAlignment="1" applyFont="1" applyNumberFormat="1">
      <alignment shrinkToFit="0" wrapText="1"/>
    </xf>
    <xf borderId="0" fillId="0" fontId="9" numFmtId="169" xfId="0" applyAlignment="1" applyFont="1" applyNumberFormat="1">
      <alignment shrinkToFit="0" wrapText="1"/>
    </xf>
    <xf borderId="0" fillId="0" fontId="9" numFmtId="169" xfId="0" applyAlignment="1" applyFont="1" applyNumberFormat="1">
      <alignment horizontal="center" shrinkToFit="0" wrapText="1"/>
    </xf>
    <xf borderId="0" fillId="0" fontId="9" numFmtId="0" xfId="0" applyAlignment="1" applyFont="1">
      <alignment horizontal="center" shrinkToFit="0" wrapText="1"/>
    </xf>
    <xf borderId="1" fillId="2" fontId="1" numFmtId="0" xfId="0" applyAlignment="1" applyBorder="1" applyFont="1">
      <alignment shrinkToFit="0" wrapText="1"/>
    </xf>
    <xf borderId="0" fillId="0" fontId="9" numFmtId="165" xfId="0" applyAlignment="1" applyFont="1" applyNumberFormat="1">
      <alignment horizontal="right" readingOrder="0" shrinkToFit="0" wrapText="1"/>
    </xf>
    <xf borderId="0" fillId="0" fontId="9" numFmtId="0" xfId="0" applyAlignment="1" applyFont="1">
      <alignment horizontal="right" readingOrder="0" shrinkToFit="0" wrapText="1"/>
    </xf>
    <xf borderId="0" fillId="0" fontId="9" numFmtId="168" xfId="0" applyAlignment="1" applyFont="1" applyNumberFormat="1">
      <alignment horizontal="right" readingOrder="0" shrinkToFit="0" wrapText="1"/>
    </xf>
    <xf borderId="0" fillId="0" fontId="9" numFmtId="168" xfId="0" applyAlignment="1" applyFont="1" applyNumberFormat="1">
      <alignment horizontal="right" shrinkToFit="0" wrapText="1"/>
    </xf>
    <xf borderId="0" fillId="0" fontId="9" numFmtId="170" xfId="0" applyAlignment="1" applyFont="1" applyNumberFormat="1">
      <alignment shrinkToFit="0" wrapText="1"/>
    </xf>
    <xf borderId="0" fillId="0" fontId="9" numFmtId="3" xfId="0" applyAlignment="1" applyFont="1" applyNumberFormat="1">
      <alignment shrinkToFit="0" wrapText="1"/>
    </xf>
    <xf borderId="0" fillId="0" fontId="9" numFmtId="171" xfId="0" applyAlignment="1" applyFont="1" applyNumberFormat="1">
      <alignment shrinkToFit="0" wrapText="1"/>
    </xf>
    <xf borderId="1" fillId="2" fontId="7" numFmtId="3" xfId="0" applyAlignment="1" applyBorder="1" applyFont="1" applyNumberFormat="1">
      <alignment horizontal="center" shrinkToFit="0" wrapText="1"/>
    </xf>
    <xf borderId="1" fillId="2" fontId="7" numFmtId="0" xfId="0" applyAlignment="1" applyBorder="1" applyFont="1">
      <alignment shrinkToFit="0" wrapText="1"/>
    </xf>
    <xf borderId="0" fillId="0" fontId="3" numFmtId="0" xfId="0" applyAlignment="1" applyFont="1">
      <alignment horizontal="center" shrinkToFit="0" vertical="top" wrapText="1"/>
    </xf>
    <xf borderId="0" fillId="3" fontId="7" numFmtId="0" xfId="0" applyAlignment="1" applyFont="1">
      <alignment horizontal="center" shrinkToFit="0" wrapText="1"/>
    </xf>
    <xf borderId="0" fillId="0" fontId="6" numFmtId="168" xfId="0" applyAlignment="1" applyFont="1" applyNumberFormat="1">
      <alignment shrinkToFit="0" wrapText="1"/>
    </xf>
    <xf borderId="0" fillId="0" fontId="6" numFmtId="0" xfId="0" applyAlignment="1" applyFont="1">
      <alignment shrinkToFit="0" wrapText="1"/>
    </xf>
    <xf borderId="0" fillId="0" fontId="6" numFmtId="169" xfId="0" applyAlignment="1" applyFont="1" applyNumberFormat="1">
      <alignment shrinkToFit="0" wrapText="1"/>
    </xf>
    <xf borderId="0" fillId="0" fontId="6" numFmtId="170" xfId="0" applyAlignment="1" applyFont="1" applyNumberFormat="1">
      <alignment shrinkToFit="0" wrapText="1"/>
    </xf>
    <xf borderId="0" fillId="0" fontId="6" numFmtId="3" xfId="0" applyAlignment="1" applyFont="1" applyNumberFormat="1">
      <alignment shrinkToFit="0" wrapText="1"/>
    </xf>
    <xf borderId="0" fillId="0" fontId="6" numFmtId="171" xfId="0" applyAlignment="1" applyFont="1" applyNumberFormat="1">
      <alignment shrinkToFit="0" wrapText="1"/>
    </xf>
    <xf borderId="1" fillId="4" fontId="7" numFmtId="3" xfId="0" applyAlignment="1" applyBorder="1" applyFont="1" applyNumberFormat="1">
      <alignment horizontal="center" shrinkToFit="0" wrapText="1"/>
    </xf>
    <xf borderId="0" fillId="2" fontId="7" numFmtId="3" xfId="0" applyAlignment="1" applyFont="1" applyNumberFormat="1">
      <alignment readingOrder="0" shrinkToFit="0" wrapText="1"/>
    </xf>
    <xf borderId="1" fillId="2" fontId="7" numFmtId="0" xfId="0" applyAlignment="1" applyBorder="1" applyFont="1">
      <alignment readingOrder="0" shrinkToFit="0" wrapText="1"/>
    </xf>
    <xf borderId="0" fillId="3" fontId="7" numFmtId="3" xfId="0" applyAlignment="1" applyFont="1" applyNumberFormat="1">
      <alignment horizontal="center" shrinkToFit="0" wrapText="1"/>
    </xf>
    <xf borderId="0" fillId="0" fontId="7" numFmtId="0" xfId="0" applyAlignment="1" applyFont="1">
      <alignment horizontal="center" shrinkToFit="0" wrapText="1"/>
    </xf>
    <xf borderId="0" fillId="4" fontId="7" numFmtId="3" xfId="0" applyAlignment="1" applyFont="1" applyNumberFormat="1">
      <alignment horizontal="center" shrinkToFit="0" wrapText="1"/>
    </xf>
    <xf borderId="0" fillId="0" fontId="7" numFmtId="3" xfId="0" applyAlignment="1" applyFont="1" applyNumberFormat="1">
      <alignment horizontal="center" shrinkToFit="0" wrapText="1"/>
    </xf>
    <xf borderId="0" fillId="0" fontId="6" numFmtId="0" xfId="0" applyAlignment="1" applyFont="1">
      <alignment horizontal="center" shrinkToFit="0" wrapText="1"/>
    </xf>
    <xf borderId="0" fillId="0" fontId="6" numFmtId="171" xfId="0" applyAlignment="1" applyFont="1" applyNumberFormat="1">
      <alignment shrinkToFit="0" vertical="top" wrapText="1"/>
    </xf>
    <xf borderId="0" fillId="0" fontId="6" numFmtId="0" xfId="0" applyAlignment="1" applyFont="1">
      <alignment shrinkToFit="0" vertical="top" wrapText="1"/>
    </xf>
    <xf borderId="0" fillId="0" fontId="6" numFmtId="3" xfId="0" applyAlignment="1" applyFont="1" applyNumberFormat="1">
      <alignment shrinkToFit="0" vertical="top" wrapText="1"/>
    </xf>
    <xf borderId="0" fillId="0" fontId="6" numFmtId="3" xfId="0" applyAlignment="1" applyFont="1" applyNumberFormat="1">
      <alignment shrinkToFit="0" wrapText="1"/>
    </xf>
    <xf borderId="0" fillId="0" fontId="6" numFmtId="14" xfId="0" applyAlignment="1" applyFont="1" applyNumberFormat="1">
      <alignment shrinkToFit="0" wrapText="1"/>
    </xf>
    <xf borderId="0" fillId="0" fontId="6" numFmtId="3" xfId="0" applyAlignment="1" applyFont="1" applyNumberFormat="1">
      <alignment horizontal="right" shrinkToFit="0" wrapText="1"/>
    </xf>
    <xf borderId="0" fillId="0" fontId="6" numFmtId="14" xfId="0" applyAlignment="1" applyFont="1" applyNumberFormat="1">
      <alignment horizontal="right" shrinkToFit="0" wrapText="1"/>
    </xf>
    <xf borderId="0" fillId="0" fontId="7" numFmtId="3"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17.38"/>
    <col customWidth="1" min="3" max="3" width="28.63"/>
    <col customWidth="1" min="4" max="4" width="18.13"/>
    <col customWidth="1" min="5" max="5" width="7.0"/>
    <col customWidth="1" min="6" max="6" width="6.75"/>
    <col customWidth="1" min="7" max="7" width="126.13"/>
  </cols>
  <sheetData>
    <row r="1" ht="38.25" customHeight="1">
      <c r="A1" s="1">
        <f>SUM(A3:A25)</f>
        <v>55</v>
      </c>
      <c r="B1" s="2" t="s">
        <v>0</v>
      </c>
      <c r="C1" s="1">
        <f>SUM(C9:C32)</f>
        <v>0</v>
      </c>
      <c r="D1" s="3"/>
      <c r="E1" s="4"/>
      <c r="F1" s="4"/>
      <c r="G1" s="5" t="s">
        <v>1</v>
      </c>
    </row>
    <row r="2">
      <c r="A2" s="6" t="s">
        <v>2</v>
      </c>
      <c r="B2" s="7" t="s">
        <v>3</v>
      </c>
      <c r="C2" s="8" t="s">
        <v>4</v>
      </c>
      <c r="D2" s="9" t="s">
        <v>5</v>
      </c>
      <c r="E2" s="8" t="s">
        <v>6</v>
      </c>
      <c r="F2" s="6" t="s">
        <v>7</v>
      </c>
      <c r="G2" s="10" t="s">
        <v>8</v>
      </c>
    </row>
    <row r="3">
      <c r="A3" s="11">
        <f t="shared" ref="A3:A25" si="1">E3*F3</f>
        <v>0</v>
      </c>
      <c r="B3" s="12"/>
      <c r="C3" s="13"/>
      <c r="D3" s="13"/>
      <c r="E3" s="14"/>
      <c r="F3" s="14"/>
      <c r="G3" s="13"/>
    </row>
    <row r="4">
      <c r="A4" s="11">
        <f t="shared" si="1"/>
        <v>0</v>
      </c>
      <c r="B4" s="12"/>
      <c r="C4" s="13"/>
      <c r="D4" s="13"/>
      <c r="E4" s="14"/>
      <c r="F4" s="14"/>
      <c r="G4" s="13"/>
    </row>
    <row r="5">
      <c r="A5" s="11">
        <f t="shared" si="1"/>
        <v>0</v>
      </c>
      <c r="B5" s="15"/>
      <c r="C5" s="13"/>
      <c r="D5" s="13"/>
      <c r="E5" s="14"/>
      <c r="F5" s="14"/>
      <c r="G5" s="13"/>
    </row>
    <row r="6">
      <c r="A6" s="11">
        <f t="shared" si="1"/>
        <v>0</v>
      </c>
      <c r="B6" s="15"/>
      <c r="C6" s="13"/>
      <c r="D6" s="13"/>
      <c r="E6" s="14"/>
      <c r="F6" s="14"/>
      <c r="G6" s="13"/>
    </row>
    <row r="7">
      <c r="A7" s="11">
        <f t="shared" si="1"/>
        <v>0</v>
      </c>
      <c r="B7" s="15"/>
      <c r="C7" s="13"/>
      <c r="D7" s="13"/>
      <c r="E7" s="14"/>
      <c r="F7" s="14"/>
      <c r="G7" s="13"/>
    </row>
    <row r="8">
      <c r="A8" s="11">
        <f t="shared" si="1"/>
        <v>0</v>
      </c>
      <c r="B8" s="15"/>
      <c r="C8" s="13"/>
      <c r="D8" s="13"/>
      <c r="E8" s="14"/>
      <c r="F8" s="14"/>
      <c r="G8" s="13"/>
    </row>
    <row r="9">
      <c r="A9" s="11">
        <f t="shared" si="1"/>
        <v>0</v>
      </c>
      <c r="B9" s="15"/>
      <c r="C9" s="13"/>
      <c r="D9" s="13"/>
      <c r="E9" s="14"/>
      <c r="F9" s="14"/>
      <c r="G9" s="13"/>
    </row>
    <row r="10">
      <c r="A10" s="11">
        <f t="shared" si="1"/>
        <v>0</v>
      </c>
      <c r="B10" s="15"/>
      <c r="C10" s="13"/>
      <c r="D10" s="13"/>
      <c r="E10" s="14"/>
      <c r="F10" s="14"/>
      <c r="G10" s="13"/>
    </row>
    <row r="11">
      <c r="A11" s="11">
        <f t="shared" si="1"/>
        <v>0</v>
      </c>
      <c r="B11" s="12"/>
      <c r="C11" s="13"/>
      <c r="D11" s="13"/>
      <c r="E11" s="14"/>
      <c r="F11" s="14"/>
      <c r="G11" s="13"/>
    </row>
    <row r="12">
      <c r="A12" s="11">
        <f t="shared" si="1"/>
        <v>0</v>
      </c>
      <c r="B12" s="15"/>
      <c r="C12" s="13"/>
      <c r="D12" s="13"/>
      <c r="E12" s="14"/>
      <c r="F12" s="14"/>
      <c r="G12" s="13"/>
    </row>
    <row r="13">
      <c r="A13" s="11">
        <f t="shared" si="1"/>
        <v>0</v>
      </c>
      <c r="B13" s="15"/>
      <c r="C13" s="13"/>
      <c r="D13" s="13"/>
      <c r="E13" s="14"/>
      <c r="F13" s="14"/>
      <c r="G13" s="13"/>
    </row>
    <row r="14">
      <c r="A14" s="11">
        <f t="shared" si="1"/>
        <v>0</v>
      </c>
      <c r="B14" s="15"/>
      <c r="C14" s="13"/>
      <c r="D14" s="13"/>
      <c r="E14" s="14"/>
      <c r="F14" s="14"/>
    </row>
    <row r="15">
      <c r="A15" s="11">
        <f t="shared" si="1"/>
        <v>8</v>
      </c>
      <c r="B15" s="15" t="s">
        <v>9</v>
      </c>
      <c r="C15" s="13" t="s">
        <v>10</v>
      </c>
      <c r="D15" s="13" t="s">
        <v>11</v>
      </c>
      <c r="E15" s="14">
        <v>8.0</v>
      </c>
      <c r="F15" s="14">
        <v>1.0</v>
      </c>
      <c r="G15" s="13" t="s">
        <v>12</v>
      </c>
    </row>
    <row r="16">
      <c r="A16" s="11">
        <f t="shared" si="1"/>
        <v>10</v>
      </c>
      <c r="B16" s="15" t="s">
        <v>13</v>
      </c>
      <c r="C16" s="13" t="s">
        <v>10</v>
      </c>
      <c r="D16" s="13" t="s">
        <v>14</v>
      </c>
      <c r="E16" s="14">
        <v>10.0</v>
      </c>
      <c r="F16" s="14">
        <v>1.0</v>
      </c>
      <c r="G16" s="13" t="s">
        <v>15</v>
      </c>
    </row>
    <row r="17">
      <c r="A17" s="11">
        <f t="shared" si="1"/>
        <v>2</v>
      </c>
      <c r="B17" s="15" t="s">
        <v>16</v>
      </c>
      <c r="C17" s="13" t="s">
        <v>17</v>
      </c>
      <c r="D17" s="13" t="s">
        <v>18</v>
      </c>
      <c r="E17" s="14">
        <v>2.0</v>
      </c>
      <c r="F17" s="14">
        <v>1.0</v>
      </c>
      <c r="G17" s="13" t="s">
        <v>19</v>
      </c>
    </row>
    <row r="18">
      <c r="A18" s="11">
        <f t="shared" si="1"/>
        <v>4</v>
      </c>
      <c r="B18" s="15" t="s">
        <v>16</v>
      </c>
      <c r="C18" s="13" t="s">
        <v>20</v>
      </c>
      <c r="D18" s="13" t="s">
        <v>11</v>
      </c>
      <c r="E18" s="14">
        <v>4.0</v>
      </c>
      <c r="F18" s="14">
        <v>1.0</v>
      </c>
      <c r="G18" s="13" t="s">
        <v>21</v>
      </c>
    </row>
    <row r="19">
      <c r="A19" s="11">
        <f t="shared" si="1"/>
        <v>10</v>
      </c>
      <c r="B19" s="12">
        <v>46115.0</v>
      </c>
      <c r="C19" s="13" t="s">
        <v>22</v>
      </c>
      <c r="D19" s="13" t="s">
        <v>23</v>
      </c>
      <c r="E19" s="14">
        <v>10.0</v>
      </c>
      <c r="F19" s="14">
        <v>1.0</v>
      </c>
      <c r="G19" s="13" t="s">
        <v>24</v>
      </c>
    </row>
    <row r="20">
      <c r="A20" s="11">
        <f t="shared" si="1"/>
        <v>8</v>
      </c>
      <c r="B20" s="15" t="s">
        <v>25</v>
      </c>
      <c r="C20" s="13" t="s">
        <v>26</v>
      </c>
      <c r="D20" s="13" t="s">
        <v>27</v>
      </c>
      <c r="E20" s="14">
        <v>8.0</v>
      </c>
      <c r="F20" s="14">
        <v>1.0</v>
      </c>
      <c r="G20" s="13" t="s">
        <v>28</v>
      </c>
    </row>
    <row r="21">
      <c r="A21" s="11">
        <f t="shared" si="1"/>
        <v>3</v>
      </c>
      <c r="B21" s="12">
        <v>46267.0</v>
      </c>
      <c r="C21" s="13" t="s">
        <v>29</v>
      </c>
      <c r="D21" s="13" t="s">
        <v>23</v>
      </c>
      <c r="E21" s="14">
        <v>3.0</v>
      </c>
      <c r="F21" s="14">
        <v>1.0</v>
      </c>
      <c r="G21" s="13" t="s">
        <v>30</v>
      </c>
    </row>
    <row r="22">
      <c r="A22" s="11">
        <f t="shared" si="1"/>
        <v>3</v>
      </c>
      <c r="B22" s="12">
        <v>46205.0</v>
      </c>
      <c r="C22" s="13" t="s">
        <v>31</v>
      </c>
      <c r="D22" s="13" t="s">
        <v>11</v>
      </c>
      <c r="E22" s="14">
        <v>3.0</v>
      </c>
      <c r="F22" s="14">
        <v>1.0</v>
      </c>
      <c r="G22" s="13" t="s">
        <v>32</v>
      </c>
    </row>
    <row r="23">
      <c r="A23" s="11">
        <f t="shared" si="1"/>
        <v>3</v>
      </c>
      <c r="B23" s="15" t="s">
        <v>33</v>
      </c>
      <c r="C23" s="13" t="s">
        <v>34</v>
      </c>
      <c r="D23" s="13" t="s">
        <v>23</v>
      </c>
      <c r="E23" s="14">
        <v>3.0</v>
      </c>
      <c r="F23" s="14">
        <v>1.0</v>
      </c>
      <c r="G23" s="13" t="s">
        <v>35</v>
      </c>
    </row>
    <row r="24">
      <c r="A24" s="11">
        <f t="shared" si="1"/>
        <v>4</v>
      </c>
      <c r="B24" s="12">
        <v>46113.0</v>
      </c>
      <c r="C24" s="13" t="s">
        <v>36</v>
      </c>
      <c r="D24" s="13" t="s">
        <v>11</v>
      </c>
      <c r="E24" s="14">
        <v>4.0</v>
      </c>
      <c r="F24" s="14">
        <v>1.0</v>
      </c>
      <c r="G24" s="13" t="s">
        <v>37</v>
      </c>
    </row>
    <row r="25">
      <c r="A25" s="11">
        <f t="shared" si="1"/>
        <v>0</v>
      </c>
      <c r="B25" s="12">
        <v>46082.0</v>
      </c>
      <c r="C25" s="16" t="s">
        <v>38</v>
      </c>
      <c r="D25" s="13" t="s">
        <v>39</v>
      </c>
      <c r="E25" s="14"/>
      <c r="F25" s="14">
        <v>1.0</v>
      </c>
      <c r="G25" s="13"/>
    </row>
    <row r="27">
      <c r="B27" s="17"/>
      <c r="D27" s="18"/>
      <c r="E27" s="19"/>
      <c r="F27" s="19"/>
    </row>
    <row r="28">
      <c r="B28" s="17"/>
      <c r="D28" s="18"/>
      <c r="E28" s="19"/>
      <c r="F28" s="19"/>
    </row>
    <row r="29">
      <c r="B29" s="17"/>
      <c r="D29" s="18"/>
      <c r="E29" s="19"/>
      <c r="F29" s="19"/>
    </row>
    <row r="30">
      <c r="B30" s="17"/>
      <c r="D30" s="18"/>
      <c r="E30" s="19"/>
      <c r="F30" s="19"/>
    </row>
    <row r="31">
      <c r="B31" s="17"/>
      <c r="D31" s="18"/>
      <c r="E31" s="19"/>
      <c r="F31" s="19"/>
    </row>
    <row r="32">
      <c r="B32" s="20"/>
      <c r="D32" s="18"/>
      <c r="E32" s="19"/>
      <c r="F32" s="19"/>
    </row>
    <row r="33">
      <c r="B33" s="17"/>
      <c r="D33" s="18"/>
      <c r="E33" s="19"/>
      <c r="F33" s="19"/>
    </row>
    <row r="34">
      <c r="B34" s="17"/>
      <c r="D34" s="18"/>
      <c r="E34" s="19"/>
      <c r="F34" s="19"/>
    </row>
    <row r="35">
      <c r="B35" s="17"/>
      <c r="D35" s="18"/>
      <c r="E35" s="19"/>
      <c r="F35" s="19"/>
    </row>
    <row r="36">
      <c r="B36" s="17"/>
      <c r="D36" s="18"/>
      <c r="E36" s="19"/>
      <c r="F36" s="19"/>
    </row>
    <row r="37">
      <c r="B37" s="17"/>
      <c r="D37" s="18"/>
      <c r="E37" s="19"/>
      <c r="F37" s="19"/>
    </row>
    <row r="38">
      <c r="B38" s="17"/>
      <c r="D38" s="18"/>
      <c r="E38" s="19"/>
      <c r="F38" s="19"/>
    </row>
    <row r="39">
      <c r="B39" s="17"/>
      <c r="D39" s="18"/>
      <c r="E39" s="19"/>
      <c r="F39" s="19"/>
    </row>
    <row r="40">
      <c r="B40" s="17"/>
      <c r="D40" s="18"/>
      <c r="E40" s="19"/>
      <c r="F40" s="19"/>
    </row>
    <row r="41">
      <c r="B41" s="17"/>
      <c r="D41" s="18"/>
      <c r="E41" s="19"/>
      <c r="F41" s="19"/>
    </row>
    <row r="42">
      <c r="B42" s="21"/>
      <c r="D42" s="18"/>
      <c r="E42" s="19"/>
      <c r="F42" s="19"/>
    </row>
    <row r="43">
      <c r="B43" s="22"/>
      <c r="D43" s="18"/>
      <c r="E43" s="19"/>
      <c r="F43" s="19"/>
    </row>
    <row r="44">
      <c r="B44" s="22"/>
      <c r="D44" s="18"/>
      <c r="E44" s="19"/>
      <c r="F44" s="19"/>
    </row>
    <row r="45">
      <c r="B45" s="22"/>
      <c r="D45" s="18"/>
      <c r="E45" s="19"/>
      <c r="F45" s="19"/>
    </row>
    <row r="46">
      <c r="B46" s="17"/>
      <c r="D46" s="18"/>
      <c r="E46" s="19"/>
      <c r="F46" s="23"/>
    </row>
    <row r="47">
      <c r="B47" s="17"/>
      <c r="D47" s="18"/>
      <c r="E47" s="19"/>
      <c r="F47" s="19"/>
    </row>
    <row r="48">
      <c r="B48" s="17"/>
      <c r="D48" s="24"/>
      <c r="E48" s="19"/>
      <c r="F48" s="22"/>
      <c r="G48" s="25"/>
    </row>
    <row r="49">
      <c r="B49" s="17"/>
      <c r="D49" s="24"/>
      <c r="E49" s="19"/>
      <c r="F49" s="22"/>
      <c r="G49" s="25"/>
    </row>
    <row r="50">
      <c r="B50" s="17"/>
      <c r="D50" s="24"/>
      <c r="E50" s="19"/>
      <c r="F50" s="22"/>
      <c r="G50" s="25"/>
    </row>
    <row r="51">
      <c r="B51" s="17"/>
      <c r="D51" s="24"/>
      <c r="E51" s="19"/>
      <c r="F51" s="22"/>
      <c r="G51" s="25"/>
    </row>
    <row r="52">
      <c r="B52" s="17"/>
      <c r="D52" s="24"/>
      <c r="E52" s="19"/>
      <c r="F52" s="22"/>
      <c r="G52" s="25"/>
    </row>
    <row r="53">
      <c r="B53" s="17"/>
      <c r="D53" s="24"/>
      <c r="E53" s="19"/>
      <c r="F53" s="22"/>
      <c r="G53" s="25"/>
    </row>
    <row r="54">
      <c r="B54" s="17"/>
      <c r="D54" s="24"/>
      <c r="E54" s="19"/>
      <c r="F54" s="22"/>
      <c r="G54" s="25"/>
    </row>
    <row r="55">
      <c r="B55" s="17"/>
      <c r="D55" s="24"/>
      <c r="E55" s="19"/>
      <c r="F55" s="22"/>
      <c r="G55" s="25"/>
    </row>
    <row r="56">
      <c r="B56" s="17"/>
      <c r="D56" s="24"/>
      <c r="E56" s="19"/>
      <c r="F56" s="22"/>
      <c r="G56" s="25"/>
    </row>
    <row r="57">
      <c r="B57" s="17"/>
      <c r="D57" s="24"/>
      <c r="E57" s="19"/>
      <c r="F57" s="22"/>
      <c r="G57" s="25"/>
    </row>
    <row r="58">
      <c r="B58" s="17"/>
      <c r="D58" s="24"/>
      <c r="E58" s="19"/>
      <c r="F58" s="22"/>
      <c r="G58" s="25"/>
    </row>
    <row r="59">
      <c r="B59" s="17"/>
      <c r="D59" s="24"/>
      <c r="E59" s="19"/>
      <c r="F59" s="22"/>
      <c r="G59" s="25"/>
    </row>
    <row r="60">
      <c r="B60" s="17"/>
      <c r="D60" s="18"/>
      <c r="E60" s="19"/>
      <c r="F60" s="19"/>
    </row>
    <row r="61">
      <c r="B61" s="26"/>
      <c r="D61" s="18"/>
      <c r="E61" s="19"/>
      <c r="G61" s="27"/>
    </row>
    <row r="62">
      <c r="B62" s="26"/>
      <c r="D62" s="18"/>
      <c r="E62" s="19"/>
      <c r="F62" s="19"/>
    </row>
    <row r="63">
      <c r="B63" s="26"/>
      <c r="D63" s="18"/>
      <c r="E63" s="19"/>
      <c r="F63" s="19"/>
    </row>
    <row r="64">
      <c r="B64" s="26"/>
      <c r="D64" s="18"/>
      <c r="E64" s="19"/>
      <c r="F64" s="19"/>
    </row>
    <row r="65">
      <c r="B65" s="26"/>
      <c r="D65" s="18"/>
      <c r="E65" s="19"/>
      <c r="F65" s="19"/>
    </row>
    <row r="66">
      <c r="B66" s="26"/>
      <c r="D66" s="18"/>
      <c r="E66" s="19"/>
      <c r="F66" s="19"/>
    </row>
    <row r="67">
      <c r="B67" s="26"/>
      <c r="D67" s="18"/>
      <c r="E67" s="19"/>
      <c r="F67" s="19"/>
    </row>
    <row r="68">
      <c r="B68" s="26"/>
      <c r="D68" s="18"/>
      <c r="E68" s="19"/>
      <c r="F68" s="19"/>
    </row>
    <row r="69">
      <c r="B69" s="26"/>
      <c r="D69" s="18"/>
      <c r="E69" s="19"/>
      <c r="F69" s="19"/>
    </row>
    <row r="70">
      <c r="B70" s="26"/>
      <c r="D70" s="18"/>
      <c r="E70" s="19"/>
      <c r="F70" s="19"/>
    </row>
    <row r="71">
      <c r="B71" s="26"/>
      <c r="D71" s="18"/>
      <c r="E71" s="19"/>
      <c r="F71" s="19"/>
    </row>
    <row r="72">
      <c r="B72" s="26"/>
      <c r="D72" s="18"/>
      <c r="E72" s="19"/>
      <c r="F72" s="19"/>
    </row>
    <row r="73">
      <c r="B73" s="26"/>
      <c r="D73" s="18"/>
      <c r="E73" s="19"/>
      <c r="F73" s="19"/>
    </row>
    <row r="74">
      <c r="B74" s="26"/>
      <c r="D74" s="18"/>
      <c r="E74" s="19"/>
      <c r="F74" s="19"/>
    </row>
    <row r="75">
      <c r="B75" s="26"/>
      <c r="D75" s="18"/>
      <c r="E75" s="19"/>
      <c r="F75" s="19"/>
    </row>
    <row r="76">
      <c r="B76" s="26"/>
      <c r="D76" s="18"/>
      <c r="E76" s="19"/>
      <c r="F76" s="19"/>
    </row>
    <row r="77">
      <c r="B77" s="26"/>
      <c r="D77" s="18"/>
      <c r="E77" s="19"/>
      <c r="F77" s="19"/>
    </row>
    <row r="78">
      <c r="B78" s="26"/>
      <c r="D78" s="18"/>
      <c r="E78" s="19"/>
      <c r="F78" s="19"/>
    </row>
    <row r="79">
      <c r="B79" s="26"/>
      <c r="D79" s="18"/>
      <c r="E79" s="19"/>
      <c r="F79" s="19"/>
    </row>
    <row r="80">
      <c r="B80" s="26"/>
      <c r="D80" s="18"/>
      <c r="E80" s="19"/>
      <c r="F80" s="19"/>
    </row>
    <row r="81">
      <c r="B81" s="26"/>
      <c r="D81" s="18"/>
      <c r="E81" s="19"/>
      <c r="F81" s="19"/>
    </row>
    <row r="82">
      <c r="B82" s="26"/>
      <c r="D82" s="18"/>
      <c r="E82" s="19"/>
      <c r="F82" s="19"/>
    </row>
    <row r="83">
      <c r="B83" s="26"/>
      <c r="D83" s="18"/>
      <c r="E83" s="19"/>
      <c r="F83" s="19"/>
    </row>
    <row r="84">
      <c r="B84" s="26"/>
      <c r="D84" s="18"/>
      <c r="E84" s="19"/>
      <c r="F84" s="19"/>
    </row>
    <row r="85">
      <c r="B85" s="26"/>
      <c r="D85" s="18"/>
      <c r="E85" s="19"/>
      <c r="F85" s="19"/>
    </row>
    <row r="86">
      <c r="B86" s="26"/>
      <c r="D86" s="18"/>
      <c r="E86" s="19"/>
      <c r="F86" s="19"/>
    </row>
    <row r="87">
      <c r="B87" s="26"/>
      <c r="D87" s="18"/>
      <c r="E87" s="19"/>
      <c r="F87" s="19"/>
    </row>
    <row r="88">
      <c r="B88" s="26"/>
      <c r="D88" s="18"/>
      <c r="E88" s="19"/>
      <c r="F88" s="19"/>
    </row>
    <row r="89">
      <c r="B89" s="26"/>
      <c r="D89" s="18"/>
      <c r="E89" s="19"/>
      <c r="F89" s="19"/>
    </row>
    <row r="90">
      <c r="B90" s="26"/>
      <c r="D90" s="18"/>
      <c r="E90" s="19"/>
      <c r="F90" s="19"/>
    </row>
    <row r="91">
      <c r="B91" s="26"/>
      <c r="D91" s="18"/>
      <c r="E91" s="19"/>
      <c r="F91" s="19"/>
    </row>
    <row r="92">
      <c r="B92" s="26"/>
      <c r="D92" s="18"/>
      <c r="E92" s="19"/>
      <c r="F92" s="19"/>
    </row>
    <row r="93">
      <c r="B93" s="26"/>
      <c r="D93" s="18"/>
      <c r="E93" s="19"/>
      <c r="F93" s="19"/>
    </row>
    <row r="94">
      <c r="B94" s="26"/>
      <c r="D94" s="18"/>
      <c r="E94" s="19"/>
      <c r="F94" s="19"/>
    </row>
    <row r="95">
      <c r="B95" s="26"/>
      <c r="D95" s="18"/>
      <c r="E95" s="19"/>
      <c r="F95" s="19"/>
    </row>
    <row r="96">
      <c r="B96" s="26"/>
      <c r="D96" s="18"/>
      <c r="E96" s="19"/>
      <c r="F96" s="19"/>
    </row>
    <row r="97">
      <c r="B97" s="26"/>
      <c r="D97" s="18"/>
      <c r="E97" s="19"/>
      <c r="F97" s="19"/>
    </row>
    <row r="98">
      <c r="B98" s="26"/>
      <c r="D98" s="18"/>
      <c r="E98" s="19"/>
      <c r="F98" s="19"/>
    </row>
    <row r="99">
      <c r="B99" s="26"/>
      <c r="D99" s="18"/>
      <c r="E99" s="19"/>
      <c r="F99" s="19"/>
    </row>
    <row r="100">
      <c r="B100" s="26"/>
      <c r="D100" s="18"/>
      <c r="E100" s="19"/>
      <c r="F100" s="19"/>
    </row>
    <row r="101">
      <c r="B101" s="26"/>
      <c r="D101" s="18"/>
      <c r="E101" s="19"/>
      <c r="F101" s="19"/>
    </row>
    <row r="102">
      <c r="B102" s="26"/>
      <c r="D102" s="18"/>
      <c r="E102" s="19"/>
      <c r="F102" s="19"/>
    </row>
    <row r="103">
      <c r="B103" s="26"/>
      <c r="D103" s="18"/>
      <c r="E103" s="19"/>
      <c r="F103" s="19"/>
    </row>
    <row r="104">
      <c r="B104" s="26"/>
      <c r="D104" s="18"/>
      <c r="E104" s="19"/>
      <c r="F104" s="19"/>
    </row>
    <row r="105">
      <c r="B105" s="26"/>
      <c r="D105" s="18"/>
      <c r="E105" s="19"/>
      <c r="F105" s="19"/>
    </row>
    <row r="106">
      <c r="B106" s="26"/>
      <c r="D106" s="18"/>
      <c r="E106" s="19"/>
      <c r="F106" s="19"/>
    </row>
    <row r="107">
      <c r="B107" s="26"/>
      <c r="D107" s="18"/>
      <c r="E107" s="19"/>
      <c r="F107" s="19"/>
    </row>
    <row r="108">
      <c r="B108" s="26"/>
      <c r="D108" s="18"/>
      <c r="E108" s="19"/>
      <c r="F108" s="19"/>
    </row>
    <row r="109">
      <c r="B109" s="26"/>
      <c r="D109" s="18"/>
      <c r="E109" s="19"/>
      <c r="F109" s="19"/>
    </row>
    <row r="110">
      <c r="B110" s="26"/>
      <c r="D110" s="18"/>
      <c r="E110" s="19"/>
      <c r="F110" s="19"/>
    </row>
    <row r="111">
      <c r="B111" s="26"/>
      <c r="D111" s="18"/>
      <c r="E111" s="19"/>
      <c r="F111" s="19"/>
    </row>
    <row r="112">
      <c r="B112" s="26"/>
      <c r="D112" s="18"/>
      <c r="E112" s="19"/>
      <c r="F112" s="19"/>
    </row>
    <row r="113">
      <c r="B113" s="26"/>
      <c r="D113" s="18"/>
      <c r="E113" s="19"/>
      <c r="F113" s="19"/>
    </row>
    <row r="114">
      <c r="B114" s="26"/>
      <c r="D114" s="18"/>
      <c r="E114" s="19"/>
      <c r="F114" s="19"/>
    </row>
    <row r="115">
      <c r="B115" s="26"/>
      <c r="D115" s="18"/>
      <c r="E115" s="19"/>
      <c r="F115" s="19"/>
    </row>
    <row r="116">
      <c r="B116" s="26"/>
      <c r="D116" s="18"/>
      <c r="E116" s="19"/>
      <c r="F116" s="19"/>
    </row>
    <row r="117">
      <c r="B117" s="26"/>
      <c r="D117" s="18"/>
      <c r="E117" s="19"/>
      <c r="F117" s="19"/>
    </row>
    <row r="118">
      <c r="B118" s="26"/>
      <c r="D118" s="18"/>
      <c r="E118" s="19"/>
      <c r="F118" s="19"/>
    </row>
    <row r="119">
      <c r="B119" s="26"/>
      <c r="D119" s="18"/>
      <c r="E119" s="19"/>
      <c r="F119" s="19"/>
    </row>
    <row r="120">
      <c r="B120" s="26"/>
      <c r="D120" s="18"/>
      <c r="E120" s="19"/>
      <c r="F120" s="19"/>
    </row>
    <row r="121">
      <c r="B121" s="26"/>
      <c r="D121" s="18"/>
      <c r="E121" s="19"/>
      <c r="F121" s="19"/>
    </row>
    <row r="122">
      <c r="B122" s="26"/>
      <c r="D122" s="18"/>
      <c r="E122" s="19"/>
      <c r="F122" s="19"/>
    </row>
    <row r="123">
      <c r="B123" s="26"/>
      <c r="D123" s="18"/>
      <c r="E123" s="19"/>
      <c r="F123" s="19"/>
    </row>
    <row r="124">
      <c r="B124" s="26"/>
      <c r="D124" s="18"/>
      <c r="E124" s="19"/>
      <c r="F124" s="19"/>
    </row>
    <row r="125">
      <c r="B125" s="26"/>
      <c r="D125" s="18"/>
      <c r="E125" s="19"/>
      <c r="F125" s="19"/>
    </row>
    <row r="126">
      <c r="B126" s="26"/>
      <c r="D126" s="18"/>
      <c r="E126" s="19"/>
      <c r="F126" s="19"/>
    </row>
    <row r="127">
      <c r="B127" s="26"/>
      <c r="D127" s="18"/>
      <c r="E127" s="19"/>
      <c r="F127" s="19"/>
    </row>
    <row r="128">
      <c r="B128" s="26"/>
      <c r="D128" s="18"/>
      <c r="E128" s="19"/>
      <c r="F128" s="19"/>
    </row>
    <row r="129">
      <c r="B129" s="26"/>
      <c r="D129" s="18"/>
      <c r="E129" s="19"/>
      <c r="F129" s="19"/>
    </row>
    <row r="130">
      <c r="B130" s="26"/>
      <c r="D130" s="18"/>
      <c r="E130" s="19"/>
      <c r="F130" s="19"/>
    </row>
    <row r="131">
      <c r="B131" s="26"/>
      <c r="D131" s="18"/>
      <c r="E131" s="19"/>
      <c r="F131" s="19"/>
    </row>
    <row r="132">
      <c r="B132" s="26"/>
      <c r="D132" s="18"/>
      <c r="E132" s="19"/>
      <c r="F132" s="19"/>
    </row>
    <row r="133">
      <c r="B133" s="26"/>
      <c r="D133" s="18"/>
      <c r="E133" s="19"/>
      <c r="F133" s="19"/>
    </row>
    <row r="134">
      <c r="B134" s="26"/>
      <c r="D134" s="18"/>
      <c r="E134" s="19"/>
      <c r="F134" s="19"/>
    </row>
    <row r="135">
      <c r="B135" s="26"/>
      <c r="D135" s="18"/>
      <c r="E135" s="19"/>
      <c r="F135" s="19"/>
    </row>
    <row r="136">
      <c r="B136" s="26"/>
      <c r="D136" s="18"/>
      <c r="E136" s="19"/>
      <c r="F136" s="19"/>
    </row>
    <row r="137">
      <c r="B137" s="26"/>
      <c r="D137" s="18"/>
      <c r="E137" s="19"/>
      <c r="F137" s="19"/>
    </row>
    <row r="138">
      <c r="B138" s="26"/>
      <c r="D138" s="18"/>
      <c r="E138" s="19"/>
      <c r="F138" s="19"/>
    </row>
    <row r="139">
      <c r="B139" s="26"/>
      <c r="D139" s="18"/>
      <c r="E139" s="19"/>
      <c r="F139" s="19"/>
    </row>
    <row r="140">
      <c r="B140" s="26"/>
      <c r="D140" s="18"/>
      <c r="E140" s="19"/>
      <c r="F140" s="19"/>
    </row>
    <row r="141">
      <c r="B141" s="26"/>
      <c r="D141" s="18"/>
      <c r="E141" s="19"/>
      <c r="F141" s="19"/>
    </row>
    <row r="142">
      <c r="B142" s="26"/>
      <c r="D142" s="18"/>
      <c r="E142" s="19"/>
      <c r="F142" s="19"/>
    </row>
    <row r="143">
      <c r="B143" s="26"/>
      <c r="D143" s="18"/>
      <c r="E143" s="19"/>
      <c r="F143" s="19"/>
    </row>
    <row r="144">
      <c r="B144" s="26"/>
      <c r="D144" s="18"/>
      <c r="E144" s="19"/>
      <c r="F144" s="19"/>
    </row>
    <row r="145">
      <c r="B145" s="26"/>
      <c r="D145" s="18"/>
      <c r="E145" s="19"/>
      <c r="F145" s="19"/>
    </row>
    <row r="146">
      <c r="B146" s="26"/>
      <c r="D146" s="18"/>
      <c r="E146" s="19"/>
      <c r="F146" s="19"/>
    </row>
    <row r="147">
      <c r="B147" s="26"/>
      <c r="D147" s="18"/>
      <c r="E147" s="19"/>
      <c r="F147" s="19"/>
    </row>
    <row r="148">
      <c r="B148" s="26"/>
      <c r="D148" s="18"/>
      <c r="E148" s="19"/>
      <c r="F148" s="19"/>
    </row>
    <row r="149">
      <c r="B149" s="26"/>
      <c r="D149" s="18"/>
      <c r="E149" s="19"/>
      <c r="F149" s="19"/>
    </row>
    <row r="150">
      <c r="B150" s="26"/>
      <c r="D150" s="18"/>
      <c r="E150" s="19"/>
      <c r="F150" s="19"/>
    </row>
    <row r="151">
      <c r="B151" s="26"/>
      <c r="D151" s="18"/>
      <c r="E151" s="19"/>
      <c r="F151" s="19"/>
    </row>
    <row r="152">
      <c r="B152" s="26"/>
      <c r="D152" s="18"/>
      <c r="E152" s="19"/>
      <c r="F152" s="19"/>
    </row>
    <row r="153">
      <c r="B153" s="26"/>
      <c r="D153" s="18"/>
      <c r="E153" s="19"/>
      <c r="F153" s="19"/>
    </row>
    <row r="154">
      <c r="B154" s="26"/>
      <c r="D154" s="18"/>
      <c r="E154" s="19"/>
      <c r="F154" s="19"/>
    </row>
    <row r="155">
      <c r="B155" s="26"/>
      <c r="D155" s="18"/>
      <c r="E155" s="19"/>
      <c r="F155" s="19"/>
    </row>
    <row r="156">
      <c r="B156" s="26"/>
      <c r="D156" s="18"/>
      <c r="E156" s="19"/>
      <c r="F156" s="19"/>
    </row>
    <row r="157">
      <c r="B157" s="26"/>
      <c r="D157" s="18"/>
      <c r="E157" s="19"/>
      <c r="F157" s="19"/>
    </row>
    <row r="158">
      <c r="B158" s="26"/>
      <c r="D158" s="18"/>
      <c r="E158" s="19"/>
      <c r="F158" s="19"/>
    </row>
    <row r="159">
      <c r="B159" s="26"/>
      <c r="D159" s="18"/>
      <c r="E159" s="19"/>
      <c r="F159" s="19"/>
    </row>
    <row r="160">
      <c r="B160" s="26"/>
      <c r="D160" s="18"/>
      <c r="E160" s="19"/>
      <c r="F160" s="19"/>
    </row>
    <row r="161">
      <c r="B161" s="26"/>
      <c r="D161" s="18"/>
      <c r="E161" s="19"/>
      <c r="F161" s="19"/>
    </row>
    <row r="162">
      <c r="B162" s="26"/>
      <c r="D162" s="18"/>
      <c r="E162" s="19"/>
      <c r="F162" s="19"/>
    </row>
    <row r="163">
      <c r="B163" s="26"/>
      <c r="D163" s="18"/>
      <c r="E163" s="19"/>
      <c r="F163" s="19"/>
    </row>
    <row r="164">
      <c r="B164" s="26"/>
      <c r="D164" s="18"/>
      <c r="E164" s="19"/>
      <c r="F164" s="19"/>
    </row>
    <row r="165">
      <c r="B165" s="26"/>
      <c r="D165" s="18"/>
      <c r="E165" s="19"/>
      <c r="F165" s="19"/>
    </row>
    <row r="166">
      <c r="B166" s="26"/>
      <c r="D166" s="18"/>
      <c r="E166" s="19"/>
      <c r="F166" s="19"/>
    </row>
    <row r="167">
      <c r="B167" s="26"/>
      <c r="D167" s="18"/>
      <c r="E167" s="19"/>
      <c r="F167" s="19"/>
    </row>
    <row r="168">
      <c r="B168" s="26"/>
      <c r="D168" s="18"/>
      <c r="E168" s="19"/>
      <c r="F168" s="19"/>
    </row>
    <row r="169">
      <c r="B169" s="26"/>
      <c r="D169" s="18"/>
      <c r="E169" s="19"/>
      <c r="F169" s="19"/>
    </row>
    <row r="170">
      <c r="B170" s="26"/>
      <c r="D170" s="18"/>
      <c r="E170" s="19"/>
      <c r="F170" s="19"/>
    </row>
    <row r="171">
      <c r="B171" s="26"/>
      <c r="D171" s="18"/>
      <c r="E171" s="19"/>
      <c r="F171" s="19"/>
    </row>
    <row r="172">
      <c r="B172" s="26"/>
      <c r="D172" s="18"/>
      <c r="E172" s="19"/>
      <c r="F172" s="19"/>
    </row>
    <row r="173">
      <c r="B173" s="26"/>
      <c r="D173" s="18"/>
      <c r="E173" s="19"/>
      <c r="F173" s="19"/>
    </row>
    <row r="174">
      <c r="B174" s="26"/>
      <c r="D174" s="18"/>
      <c r="E174" s="19"/>
      <c r="F174" s="19"/>
    </row>
    <row r="175">
      <c r="B175" s="26"/>
      <c r="D175" s="18"/>
      <c r="E175" s="19"/>
      <c r="F175" s="19"/>
    </row>
    <row r="176">
      <c r="B176" s="26"/>
      <c r="D176" s="18"/>
      <c r="E176" s="19"/>
      <c r="F176" s="19"/>
    </row>
    <row r="177">
      <c r="B177" s="26"/>
      <c r="D177" s="18"/>
      <c r="E177" s="19"/>
      <c r="F177" s="19"/>
    </row>
    <row r="178">
      <c r="B178" s="26"/>
      <c r="D178" s="18"/>
      <c r="E178" s="19"/>
      <c r="F178" s="19"/>
    </row>
    <row r="179">
      <c r="B179" s="26"/>
      <c r="D179" s="18"/>
      <c r="E179" s="19"/>
      <c r="F179" s="19"/>
    </row>
    <row r="180">
      <c r="B180" s="26"/>
      <c r="D180" s="18"/>
      <c r="E180" s="19"/>
      <c r="F180" s="19"/>
    </row>
    <row r="181">
      <c r="B181" s="26"/>
      <c r="D181" s="18"/>
      <c r="E181" s="19"/>
      <c r="F181" s="19"/>
    </row>
    <row r="182">
      <c r="B182" s="26"/>
      <c r="D182" s="18"/>
      <c r="E182" s="19"/>
      <c r="F182" s="19"/>
    </row>
    <row r="183">
      <c r="B183" s="26"/>
      <c r="D183" s="18"/>
      <c r="E183" s="19"/>
      <c r="F183" s="19"/>
    </row>
    <row r="184">
      <c r="B184" s="26"/>
      <c r="D184" s="18"/>
      <c r="E184" s="19"/>
      <c r="F184" s="19"/>
    </row>
    <row r="185">
      <c r="B185" s="26"/>
      <c r="D185" s="18"/>
      <c r="E185" s="19"/>
      <c r="F185" s="19"/>
    </row>
    <row r="186">
      <c r="B186" s="26"/>
      <c r="D186" s="18"/>
      <c r="E186" s="19"/>
      <c r="F186" s="19"/>
    </row>
    <row r="187">
      <c r="B187" s="26"/>
      <c r="D187" s="18"/>
      <c r="E187" s="19"/>
      <c r="F187" s="19"/>
    </row>
    <row r="188">
      <c r="B188" s="26"/>
      <c r="D188" s="18"/>
      <c r="E188" s="19"/>
      <c r="F188" s="19"/>
    </row>
    <row r="189">
      <c r="B189" s="26"/>
      <c r="D189" s="18"/>
      <c r="E189" s="19"/>
      <c r="F189" s="19"/>
    </row>
    <row r="190">
      <c r="B190" s="26"/>
      <c r="D190" s="18"/>
      <c r="E190" s="19"/>
      <c r="F190" s="19"/>
    </row>
    <row r="191">
      <c r="B191" s="26"/>
      <c r="D191" s="18"/>
      <c r="E191" s="19"/>
      <c r="F191" s="19"/>
    </row>
    <row r="192">
      <c r="B192" s="26"/>
      <c r="D192" s="18"/>
      <c r="E192" s="19"/>
      <c r="F192" s="19"/>
    </row>
    <row r="193">
      <c r="B193" s="26"/>
      <c r="D193" s="18"/>
      <c r="E193" s="19"/>
      <c r="F193" s="19"/>
    </row>
    <row r="194">
      <c r="B194" s="26"/>
      <c r="D194" s="18"/>
      <c r="E194" s="19"/>
      <c r="F194" s="19"/>
    </row>
    <row r="195">
      <c r="B195" s="26"/>
      <c r="D195" s="18"/>
      <c r="E195" s="19"/>
      <c r="F195" s="19"/>
    </row>
    <row r="196">
      <c r="B196" s="26"/>
      <c r="D196" s="18"/>
      <c r="E196" s="19"/>
      <c r="F196" s="19"/>
    </row>
    <row r="197">
      <c r="B197" s="26"/>
      <c r="D197" s="18"/>
      <c r="E197" s="19"/>
      <c r="F197" s="19"/>
    </row>
    <row r="198">
      <c r="B198" s="26"/>
      <c r="D198" s="18"/>
      <c r="E198" s="19"/>
      <c r="F198" s="19"/>
    </row>
    <row r="199">
      <c r="B199" s="26"/>
      <c r="D199" s="18"/>
      <c r="E199" s="19"/>
      <c r="F199" s="19"/>
    </row>
    <row r="200">
      <c r="B200" s="26"/>
      <c r="D200" s="18"/>
      <c r="E200" s="19"/>
      <c r="F200" s="19"/>
    </row>
    <row r="201">
      <c r="B201" s="26"/>
      <c r="D201" s="18"/>
      <c r="E201" s="19"/>
      <c r="F201" s="19"/>
    </row>
    <row r="202">
      <c r="B202" s="26"/>
      <c r="D202" s="18"/>
      <c r="E202" s="19"/>
      <c r="F202" s="19"/>
    </row>
    <row r="203">
      <c r="B203" s="26"/>
      <c r="D203" s="18"/>
      <c r="E203" s="19"/>
      <c r="F203" s="19"/>
    </row>
    <row r="204">
      <c r="B204" s="26"/>
      <c r="D204" s="18"/>
      <c r="E204" s="19"/>
      <c r="F204" s="19"/>
    </row>
    <row r="205">
      <c r="B205" s="26"/>
      <c r="D205" s="18"/>
      <c r="E205" s="19"/>
      <c r="F205" s="19"/>
    </row>
    <row r="206">
      <c r="B206" s="26"/>
      <c r="D206" s="18"/>
      <c r="E206" s="19"/>
      <c r="F206" s="19"/>
    </row>
    <row r="207">
      <c r="B207" s="26"/>
      <c r="D207" s="18"/>
      <c r="E207" s="19"/>
      <c r="F207" s="19"/>
    </row>
    <row r="208">
      <c r="B208" s="26"/>
      <c r="D208" s="18"/>
      <c r="E208" s="19"/>
      <c r="F208" s="19"/>
    </row>
    <row r="209">
      <c r="B209" s="26"/>
      <c r="D209" s="18"/>
      <c r="E209" s="19"/>
      <c r="F209" s="19"/>
    </row>
    <row r="210">
      <c r="B210" s="26"/>
      <c r="D210" s="18"/>
      <c r="E210" s="19"/>
      <c r="F210" s="19"/>
    </row>
    <row r="211">
      <c r="B211" s="26"/>
      <c r="D211" s="18"/>
      <c r="E211" s="19"/>
      <c r="F211" s="19"/>
    </row>
    <row r="212">
      <c r="B212" s="26"/>
      <c r="D212" s="18"/>
      <c r="E212" s="19"/>
      <c r="F212" s="19"/>
    </row>
    <row r="213">
      <c r="B213" s="26"/>
      <c r="D213" s="18"/>
      <c r="E213" s="19"/>
      <c r="F213" s="19"/>
    </row>
    <row r="214">
      <c r="B214" s="26"/>
      <c r="D214" s="18"/>
      <c r="E214" s="19"/>
      <c r="F214" s="19"/>
    </row>
    <row r="215">
      <c r="B215" s="26"/>
      <c r="D215" s="18"/>
      <c r="E215" s="19"/>
      <c r="F215" s="19"/>
    </row>
    <row r="216">
      <c r="B216" s="26"/>
      <c r="D216" s="18"/>
      <c r="E216" s="19"/>
      <c r="F216" s="19"/>
    </row>
    <row r="217">
      <c r="B217" s="26"/>
      <c r="D217" s="18"/>
      <c r="E217" s="19"/>
      <c r="F217" s="19"/>
    </row>
    <row r="218">
      <c r="B218" s="26"/>
      <c r="D218" s="18"/>
      <c r="E218" s="19"/>
      <c r="F218" s="19"/>
    </row>
    <row r="219">
      <c r="B219" s="26"/>
      <c r="D219" s="18"/>
      <c r="E219" s="19"/>
      <c r="F219" s="19"/>
    </row>
    <row r="220">
      <c r="B220" s="26"/>
      <c r="D220" s="18"/>
      <c r="E220" s="19"/>
      <c r="F220" s="19"/>
    </row>
    <row r="221">
      <c r="B221" s="26"/>
      <c r="D221" s="18"/>
      <c r="E221" s="19"/>
      <c r="F221" s="19"/>
    </row>
    <row r="222">
      <c r="B222" s="26"/>
      <c r="D222" s="18"/>
      <c r="E222" s="19"/>
      <c r="F222" s="19"/>
    </row>
    <row r="223">
      <c r="B223" s="26"/>
      <c r="D223" s="18"/>
      <c r="E223" s="19"/>
      <c r="F223" s="19"/>
    </row>
    <row r="224">
      <c r="B224" s="26"/>
      <c r="D224" s="18"/>
      <c r="E224" s="19"/>
      <c r="F224" s="19"/>
    </row>
    <row r="225">
      <c r="B225" s="26"/>
      <c r="D225" s="18"/>
      <c r="E225" s="19"/>
      <c r="F225" s="19"/>
    </row>
    <row r="226">
      <c r="B226" s="26"/>
      <c r="D226" s="18"/>
      <c r="E226" s="19"/>
      <c r="F226" s="19"/>
    </row>
    <row r="227">
      <c r="B227" s="26"/>
      <c r="D227" s="18"/>
      <c r="E227" s="19"/>
      <c r="F227" s="19"/>
    </row>
    <row r="228">
      <c r="B228" s="26"/>
      <c r="D228" s="18"/>
      <c r="E228" s="19"/>
      <c r="F228" s="19"/>
    </row>
    <row r="229">
      <c r="B229" s="26"/>
      <c r="D229" s="18"/>
      <c r="E229" s="19"/>
      <c r="F229" s="19"/>
    </row>
    <row r="230">
      <c r="B230" s="26"/>
      <c r="D230" s="18"/>
      <c r="E230" s="19"/>
      <c r="F230" s="19"/>
    </row>
    <row r="231">
      <c r="B231" s="26"/>
      <c r="D231" s="18"/>
      <c r="E231" s="19"/>
      <c r="F231" s="19"/>
    </row>
    <row r="232">
      <c r="B232" s="26"/>
      <c r="D232" s="18"/>
      <c r="E232" s="19"/>
      <c r="F232" s="19"/>
    </row>
    <row r="233">
      <c r="B233" s="26"/>
      <c r="D233" s="18"/>
      <c r="E233" s="19"/>
      <c r="F233" s="19"/>
    </row>
    <row r="234">
      <c r="B234" s="26"/>
      <c r="D234" s="18"/>
      <c r="E234" s="19"/>
      <c r="F234" s="19"/>
    </row>
    <row r="235">
      <c r="B235" s="26"/>
      <c r="D235" s="18"/>
      <c r="E235" s="19"/>
      <c r="F235" s="19"/>
    </row>
    <row r="236">
      <c r="B236" s="26"/>
      <c r="D236" s="18"/>
      <c r="E236" s="19"/>
      <c r="F236" s="19"/>
    </row>
    <row r="237">
      <c r="B237" s="26"/>
      <c r="D237" s="18"/>
      <c r="E237" s="19"/>
      <c r="F237" s="19"/>
    </row>
    <row r="238">
      <c r="B238" s="26"/>
      <c r="D238" s="18"/>
      <c r="E238" s="19"/>
      <c r="F238" s="19"/>
    </row>
    <row r="239">
      <c r="B239" s="26"/>
      <c r="D239" s="18"/>
      <c r="E239" s="19"/>
      <c r="F239" s="19"/>
    </row>
    <row r="240">
      <c r="B240" s="26"/>
      <c r="D240" s="18"/>
      <c r="E240" s="19"/>
      <c r="F240" s="19"/>
    </row>
    <row r="241">
      <c r="B241" s="26"/>
      <c r="D241" s="18"/>
      <c r="E241" s="19"/>
      <c r="F241" s="19"/>
    </row>
    <row r="242">
      <c r="B242" s="26"/>
      <c r="D242" s="18"/>
      <c r="E242" s="19"/>
      <c r="F242" s="19"/>
    </row>
    <row r="243">
      <c r="B243" s="26"/>
      <c r="D243" s="18"/>
      <c r="E243" s="19"/>
      <c r="F243" s="19"/>
    </row>
    <row r="244">
      <c r="B244" s="26"/>
      <c r="D244" s="18"/>
      <c r="E244" s="19"/>
      <c r="F244" s="19"/>
    </row>
    <row r="245">
      <c r="B245" s="26"/>
      <c r="D245" s="18"/>
      <c r="E245" s="19"/>
      <c r="F245" s="19"/>
    </row>
    <row r="246">
      <c r="B246" s="26"/>
      <c r="D246" s="18"/>
      <c r="E246" s="19"/>
      <c r="F246" s="19"/>
    </row>
    <row r="247">
      <c r="B247" s="26"/>
      <c r="D247" s="18"/>
      <c r="E247" s="19"/>
      <c r="F247" s="19"/>
    </row>
    <row r="248">
      <c r="B248" s="26"/>
      <c r="D248" s="18"/>
      <c r="E248" s="19"/>
      <c r="F248" s="19"/>
    </row>
    <row r="249">
      <c r="B249" s="26"/>
      <c r="D249" s="18"/>
      <c r="E249" s="19"/>
      <c r="F249" s="19"/>
    </row>
    <row r="250">
      <c r="B250" s="26"/>
      <c r="D250" s="18"/>
      <c r="E250" s="19"/>
      <c r="F250" s="19"/>
    </row>
    <row r="251">
      <c r="B251" s="26"/>
      <c r="D251" s="18"/>
      <c r="E251" s="19"/>
      <c r="F251" s="19"/>
    </row>
    <row r="252">
      <c r="B252" s="26"/>
      <c r="D252" s="18"/>
      <c r="E252" s="19"/>
      <c r="F252" s="19"/>
    </row>
    <row r="253">
      <c r="B253" s="26"/>
      <c r="D253" s="18"/>
      <c r="E253" s="19"/>
      <c r="F253" s="19"/>
    </row>
    <row r="254">
      <c r="B254" s="26"/>
      <c r="D254" s="18"/>
      <c r="E254" s="19"/>
      <c r="F254" s="19"/>
    </row>
    <row r="255">
      <c r="B255" s="26"/>
      <c r="D255" s="18"/>
      <c r="E255" s="19"/>
      <c r="F255" s="19"/>
    </row>
    <row r="256">
      <c r="B256" s="26"/>
      <c r="D256" s="18"/>
      <c r="E256" s="19"/>
      <c r="F256" s="19"/>
    </row>
    <row r="257">
      <c r="B257" s="26"/>
      <c r="D257" s="18"/>
      <c r="E257" s="19"/>
      <c r="F257" s="19"/>
    </row>
    <row r="258">
      <c r="B258" s="26"/>
      <c r="D258" s="18"/>
      <c r="E258" s="19"/>
      <c r="F258" s="19"/>
    </row>
    <row r="259">
      <c r="B259" s="26"/>
      <c r="D259" s="18"/>
      <c r="E259" s="19"/>
      <c r="F259" s="19"/>
    </row>
    <row r="260">
      <c r="B260" s="26"/>
      <c r="D260" s="18"/>
      <c r="E260" s="19"/>
      <c r="F260" s="19"/>
    </row>
    <row r="261">
      <c r="B261" s="26"/>
      <c r="D261" s="18"/>
      <c r="E261" s="19"/>
      <c r="F261" s="19"/>
    </row>
    <row r="262">
      <c r="B262" s="26"/>
      <c r="D262" s="18"/>
      <c r="E262" s="19"/>
      <c r="F262" s="19"/>
    </row>
    <row r="263">
      <c r="B263" s="26"/>
      <c r="D263" s="18"/>
      <c r="E263" s="19"/>
      <c r="F263" s="19"/>
    </row>
    <row r="264">
      <c r="B264" s="26"/>
      <c r="D264" s="18"/>
      <c r="E264" s="19"/>
      <c r="F264" s="19"/>
    </row>
    <row r="265">
      <c r="B265" s="26"/>
      <c r="D265" s="18"/>
      <c r="E265" s="19"/>
      <c r="F265" s="19"/>
    </row>
    <row r="266">
      <c r="B266" s="26"/>
      <c r="D266" s="18"/>
      <c r="E266" s="19"/>
      <c r="F266" s="19"/>
    </row>
    <row r="267">
      <c r="B267" s="26"/>
      <c r="D267" s="18"/>
      <c r="E267" s="19"/>
      <c r="F267" s="19"/>
    </row>
    <row r="268">
      <c r="B268" s="26"/>
      <c r="D268" s="18"/>
      <c r="E268" s="19"/>
      <c r="F268" s="19"/>
    </row>
    <row r="269">
      <c r="B269" s="26"/>
      <c r="D269" s="18"/>
      <c r="E269" s="19"/>
      <c r="F269" s="19"/>
    </row>
    <row r="270">
      <c r="B270" s="26"/>
      <c r="D270" s="18"/>
      <c r="E270" s="19"/>
      <c r="F270" s="19"/>
    </row>
    <row r="271">
      <c r="B271" s="26"/>
      <c r="D271" s="18"/>
      <c r="E271" s="19"/>
      <c r="F271" s="19"/>
    </row>
    <row r="272">
      <c r="B272" s="26"/>
      <c r="D272" s="18"/>
      <c r="E272" s="19"/>
      <c r="F272" s="19"/>
    </row>
    <row r="273">
      <c r="B273" s="26"/>
      <c r="D273" s="18"/>
      <c r="E273" s="19"/>
      <c r="F273" s="19"/>
    </row>
    <row r="274">
      <c r="B274" s="26"/>
      <c r="D274" s="18"/>
      <c r="E274" s="19"/>
      <c r="F274" s="19"/>
    </row>
    <row r="275">
      <c r="B275" s="26"/>
      <c r="D275" s="18"/>
      <c r="E275" s="19"/>
      <c r="F275" s="19"/>
    </row>
    <row r="276">
      <c r="B276" s="26"/>
      <c r="D276" s="18"/>
      <c r="E276" s="19"/>
      <c r="F276" s="19"/>
    </row>
    <row r="277">
      <c r="B277" s="26"/>
      <c r="D277" s="18"/>
      <c r="E277" s="19"/>
      <c r="F277" s="19"/>
    </row>
    <row r="278">
      <c r="B278" s="26"/>
      <c r="D278" s="18"/>
      <c r="E278" s="19"/>
      <c r="F278" s="19"/>
    </row>
    <row r="279">
      <c r="B279" s="26"/>
      <c r="D279" s="18"/>
      <c r="E279" s="19"/>
      <c r="F279" s="19"/>
    </row>
    <row r="280">
      <c r="B280" s="26"/>
      <c r="D280" s="18"/>
      <c r="E280" s="19"/>
      <c r="F280" s="19"/>
    </row>
    <row r="281">
      <c r="B281" s="26"/>
      <c r="D281" s="18"/>
      <c r="E281" s="19"/>
      <c r="F281" s="19"/>
    </row>
    <row r="282">
      <c r="B282" s="26"/>
      <c r="D282" s="18"/>
      <c r="E282" s="19"/>
      <c r="F282" s="19"/>
    </row>
    <row r="283">
      <c r="B283" s="26"/>
      <c r="D283" s="18"/>
      <c r="E283" s="19"/>
      <c r="F283" s="19"/>
    </row>
    <row r="284">
      <c r="B284" s="26"/>
      <c r="D284" s="18"/>
      <c r="E284" s="19"/>
      <c r="F284" s="19"/>
    </row>
    <row r="285">
      <c r="B285" s="26"/>
      <c r="D285" s="18"/>
      <c r="E285" s="19"/>
      <c r="F285" s="19"/>
    </row>
    <row r="286">
      <c r="B286" s="26"/>
      <c r="D286" s="18"/>
      <c r="E286" s="19"/>
      <c r="F286" s="19"/>
    </row>
    <row r="287">
      <c r="B287" s="26"/>
      <c r="D287" s="18"/>
      <c r="E287" s="19"/>
      <c r="F287" s="19"/>
    </row>
    <row r="288">
      <c r="B288" s="26"/>
      <c r="D288" s="18"/>
      <c r="E288" s="19"/>
      <c r="F288" s="19"/>
    </row>
    <row r="289">
      <c r="B289" s="26"/>
      <c r="D289" s="18"/>
      <c r="E289" s="19"/>
      <c r="F289" s="19"/>
    </row>
    <row r="290">
      <c r="B290" s="26"/>
      <c r="D290" s="18"/>
      <c r="E290" s="19"/>
      <c r="F290" s="19"/>
    </row>
    <row r="291">
      <c r="B291" s="26"/>
      <c r="D291" s="18"/>
      <c r="E291" s="19"/>
      <c r="F291" s="19"/>
    </row>
    <row r="292">
      <c r="B292" s="26"/>
      <c r="D292" s="18"/>
      <c r="E292" s="19"/>
      <c r="F292" s="19"/>
    </row>
    <row r="293">
      <c r="B293" s="26"/>
      <c r="D293" s="18"/>
      <c r="E293" s="19"/>
      <c r="F293" s="19"/>
    </row>
    <row r="294">
      <c r="B294" s="26"/>
      <c r="D294" s="18"/>
      <c r="E294" s="19"/>
      <c r="F294" s="19"/>
    </row>
    <row r="295">
      <c r="B295" s="26"/>
      <c r="D295" s="18"/>
      <c r="E295" s="19"/>
      <c r="F295" s="19"/>
    </row>
    <row r="296">
      <c r="B296" s="26"/>
      <c r="D296" s="18"/>
      <c r="E296" s="19"/>
      <c r="F296" s="19"/>
    </row>
    <row r="297">
      <c r="B297" s="26"/>
      <c r="D297" s="18"/>
      <c r="E297" s="19"/>
      <c r="F297" s="19"/>
    </row>
    <row r="298">
      <c r="B298" s="26"/>
      <c r="D298" s="18"/>
      <c r="E298" s="19"/>
      <c r="F298" s="19"/>
    </row>
    <row r="299">
      <c r="B299" s="26"/>
      <c r="D299" s="18"/>
      <c r="E299" s="19"/>
      <c r="F299" s="19"/>
    </row>
    <row r="300">
      <c r="B300" s="26"/>
      <c r="D300" s="18"/>
      <c r="E300" s="19"/>
      <c r="F300" s="19"/>
    </row>
    <row r="301">
      <c r="B301" s="26"/>
      <c r="D301" s="18"/>
      <c r="E301" s="19"/>
      <c r="F301" s="19"/>
    </row>
    <row r="302">
      <c r="B302" s="26"/>
      <c r="D302" s="18"/>
      <c r="E302" s="19"/>
      <c r="F302" s="19"/>
    </row>
    <row r="303">
      <c r="B303" s="26"/>
      <c r="D303" s="18"/>
      <c r="E303" s="19"/>
      <c r="F303" s="19"/>
    </row>
    <row r="304">
      <c r="B304" s="26"/>
      <c r="D304" s="18"/>
      <c r="E304" s="19"/>
      <c r="F304" s="19"/>
    </row>
    <row r="305">
      <c r="B305" s="26"/>
      <c r="D305" s="18"/>
      <c r="E305" s="19"/>
      <c r="F305" s="19"/>
    </row>
    <row r="306">
      <c r="B306" s="26"/>
      <c r="D306" s="18"/>
      <c r="E306" s="19"/>
      <c r="F306" s="19"/>
    </row>
    <row r="307">
      <c r="B307" s="26"/>
      <c r="D307" s="18"/>
      <c r="E307" s="19"/>
      <c r="F307" s="19"/>
    </row>
    <row r="308">
      <c r="B308" s="26"/>
      <c r="D308" s="18"/>
      <c r="E308" s="19"/>
      <c r="F308" s="19"/>
    </row>
    <row r="309">
      <c r="B309" s="26"/>
      <c r="D309" s="18"/>
      <c r="E309" s="19"/>
      <c r="F309" s="19"/>
    </row>
    <row r="310">
      <c r="B310" s="26"/>
      <c r="D310" s="18"/>
      <c r="E310" s="19"/>
      <c r="F310" s="19"/>
    </row>
    <row r="311">
      <c r="B311" s="26"/>
      <c r="D311" s="18"/>
      <c r="E311" s="19"/>
      <c r="F311" s="19"/>
    </row>
    <row r="312">
      <c r="B312" s="26"/>
      <c r="D312" s="18"/>
      <c r="E312" s="19"/>
      <c r="F312" s="19"/>
    </row>
    <row r="313">
      <c r="B313" s="26"/>
      <c r="D313" s="18"/>
      <c r="E313" s="19"/>
      <c r="F313" s="19"/>
    </row>
    <row r="314">
      <c r="B314" s="26"/>
      <c r="D314" s="18"/>
      <c r="E314" s="19"/>
      <c r="F314" s="19"/>
    </row>
    <row r="315">
      <c r="B315" s="26"/>
      <c r="D315" s="18"/>
      <c r="E315" s="19"/>
      <c r="F315" s="19"/>
    </row>
    <row r="316">
      <c r="B316" s="26"/>
      <c r="D316" s="18"/>
      <c r="E316" s="19"/>
      <c r="F316" s="19"/>
    </row>
    <row r="317">
      <c r="B317" s="26"/>
      <c r="D317" s="18"/>
      <c r="E317" s="19"/>
      <c r="F317" s="19"/>
    </row>
    <row r="318">
      <c r="B318" s="26"/>
      <c r="D318" s="18"/>
      <c r="E318" s="19"/>
      <c r="F318" s="19"/>
    </row>
    <row r="319">
      <c r="B319" s="26"/>
      <c r="D319" s="18"/>
      <c r="E319" s="19"/>
      <c r="F319" s="19"/>
    </row>
    <row r="320">
      <c r="B320" s="26"/>
      <c r="D320" s="18"/>
      <c r="E320" s="19"/>
      <c r="F320" s="19"/>
    </row>
    <row r="321">
      <c r="B321" s="26"/>
      <c r="D321" s="18"/>
      <c r="E321" s="19"/>
      <c r="F321" s="19"/>
    </row>
    <row r="322">
      <c r="B322" s="26"/>
      <c r="D322" s="18"/>
      <c r="E322" s="19"/>
      <c r="F322" s="19"/>
    </row>
    <row r="323">
      <c r="B323" s="26"/>
      <c r="D323" s="18"/>
      <c r="E323" s="19"/>
      <c r="F323" s="19"/>
    </row>
    <row r="324">
      <c r="B324" s="26"/>
      <c r="D324" s="18"/>
      <c r="E324" s="19"/>
      <c r="F324" s="19"/>
    </row>
    <row r="325">
      <c r="B325" s="26"/>
      <c r="D325" s="18"/>
      <c r="E325" s="19"/>
      <c r="F325" s="19"/>
    </row>
    <row r="326">
      <c r="B326" s="26"/>
      <c r="D326" s="18"/>
      <c r="E326" s="19"/>
      <c r="F326" s="19"/>
    </row>
    <row r="327">
      <c r="B327" s="26"/>
      <c r="D327" s="18"/>
      <c r="E327" s="19"/>
      <c r="F327" s="19"/>
    </row>
    <row r="328">
      <c r="B328" s="26"/>
      <c r="D328" s="18"/>
      <c r="E328" s="19"/>
      <c r="F328" s="19"/>
    </row>
    <row r="329">
      <c r="B329" s="26"/>
      <c r="D329" s="18"/>
      <c r="E329" s="19"/>
      <c r="F329" s="19"/>
    </row>
    <row r="330">
      <c r="B330" s="26"/>
      <c r="D330" s="18"/>
      <c r="E330" s="19"/>
      <c r="F330" s="19"/>
    </row>
    <row r="331">
      <c r="B331" s="26"/>
      <c r="D331" s="18"/>
      <c r="E331" s="19"/>
      <c r="F331" s="19"/>
    </row>
    <row r="332">
      <c r="B332" s="26"/>
      <c r="D332" s="18"/>
      <c r="E332" s="19"/>
      <c r="F332" s="19"/>
    </row>
    <row r="333">
      <c r="B333" s="26"/>
      <c r="D333" s="18"/>
      <c r="E333" s="19"/>
      <c r="F333" s="19"/>
    </row>
    <row r="334">
      <c r="B334" s="26"/>
      <c r="D334" s="18"/>
      <c r="E334" s="19"/>
      <c r="F334" s="19"/>
    </row>
    <row r="335">
      <c r="B335" s="26"/>
      <c r="D335" s="18"/>
      <c r="E335" s="19"/>
      <c r="F335" s="19"/>
    </row>
    <row r="336">
      <c r="B336" s="26"/>
      <c r="D336" s="18"/>
      <c r="E336" s="19"/>
      <c r="F336" s="19"/>
    </row>
    <row r="337">
      <c r="B337" s="26"/>
      <c r="D337" s="18"/>
      <c r="E337" s="19"/>
      <c r="F337" s="19"/>
    </row>
    <row r="338">
      <c r="B338" s="26"/>
      <c r="D338" s="18"/>
      <c r="E338" s="19"/>
      <c r="F338" s="19"/>
    </row>
    <row r="339">
      <c r="B339" s="26"/>
      <c r="D339" s="18"/>
      <c r="E339" s="19"/>
      <c r="F339" s="19"/>
    </row>
    <row r="340">
      <c r="B340" s="26"/>
      <c r="D340" s="18"/>
      <c r="E340" s="19"/>
      <c r="F340" s="19"/>
    </row>
    <row r="341">
      <c r="B341" s="26"/>
      <c r="D341" s="18"/>
      <c r="E341" s="19"/>
      <c r="F341" s="19"/>
    </row>
    <row r="342">
      <c r="B342" s="26"/>
      <c r="D342" s="18"/>
      <c r="E342" s="19"/>
      <c r="F342" s="19"/>
    </row>
    <row r="343">
      <c r="B343" s="26"/>
      <c r="D343" s="18"/>
      <c r="E343" s="19"/>
      <c r="F343" s="19"/>
    </row>
    <row r="344">
      <c r="B344" s="26"/>
      <c r="D344" s="18"/>
      <c r="E344" s="19"/>
      <c r="F344" s="19"/>
    </row>
    <row r="345">
      <c r="B345" s="26"/>
      <c r="D345" s="18"/>
      <c r="E345" s="19"/>
      <c r="F345" s="19"/>
    </row>
    <row r="346">
      <c r="B346" s="26"/>
      <c r="D346" s="18"/>
      <c r="E346" s="19"/>
      <c r="F346" s="19"/>
    </row>
    <row r="347">
      <c r="B347" s="26"/>
      <c r="D347" s="18"/>
      <c r="E347" s="19"/>
      <c r="F347" s="19"/>
    </row>
    <row r="348">
      <c r="B348" s="26"/>
      <c r="D348" s="18"/>
      <c r="E348" s="19"/>
      <c r="F348" s="19"/>
    </row>
    <row r="349">
      <c r="B349" s="26"/>
      <c r="D349" s="18"/>
      <c r="E349" s="19"/>
      <c r="F349" s="19"/>
    </row>
    <row r="350">
      <c r="B350" s="26"/>
      <c r="D350" s="18"/>
      <c r="E350" s="19"/>
      <c r="F350" s="19"/>
    </row>
    <row r="351">
      <c r="B351" s="26"/>
      <c r="D351" s="18"/>
      <c r="E351" s="19"/>
      <c r="F351" s="19"/>
    </row>
    <row r="352">
      <c r="B352" s="26"/>
      <c r="D352" s="18"/>
      <c r="E352" s="19"/>
      <c r="F352" s="19"/>
    </row>
    <row r="353">
      <c r="B353" s="26"/>
      <c r="D353" s="18"/>
      <c r="E353" s="19"/>
      <c r="F353" s="19"/>
    </row>
    <row r="354">
      <c r="B354" s="26"/>
      <c r="D354" s="18"/>
      <c r="E354" s="19"/>
      <c r="F354" s="19"/>
    </row>
    <row r="355">
      <c r="B355" s="26"/>
      <c r="D355" s="18"/>
      <c r="E355" s="19"/>
      <c r="F355" s="19"/>
    </row>
    <row r="356">
      <c r="B356" s="26"/>
      <c r="D356" s="18"/>
      <c r="E356" s="19"/>
      <c r="F356" s="19"/>
    </row>
    <row r="357">
      <c r="B357" s="26"/>
      <c r="D357" s="18"/>
      <c r="E357" s="19"/>
      <c r="F357" s="19"/>
    </row>
    <row r="358">
      <c r="B358" s="26"/>
      <c r="D358" s="18"/>
      <c r="E358" s="19"/>
      <c r="F358" s="19"/>
    </row>
    <row r="359">
      <c r="B359" s="26"/>
      <c r="D359" s="18"/>
      <c r="E359" s="19"/>
      <c r="F359" s="19"/>
    </row>
    <row r="360">
      <c r="B360" s="26"/>
      <c r="D360" s="18"/>
      <c r="E360" s="19"/>
      <c r="F360" s="19"/>
    </row>
    <row r="361">
      <c r="B361" s="26"/>
      <c r="D361" s="18"/>
      <c r="E361" s="19"/>
      <c r="F361" s="19"/>
    </row>
    <row r="362">
      <c r="B362" s="26"/>
      <c r="D362" s="18"/>
      <c r="E362" s="19"/>
      <c r="F362" s="19"/>
    </row>
    <row r="363">
      <c r="B363" s="26"/>
      <c r="D363" s="18"/>
      <c r="E363" s="19"/>
      <c r="F363" s="19"/>
    </row>
    <row r="364">
      <c r="B364" s="26"/>
      <c r="D364" s="18"/>
      <c r="E364" s="19"/>
      <c r="F364" s="19"/>
    </row>
    <row r="365">
      <c r="B365" s="26"/>
      <c r="D365" s="18"/>
      <c r="E365" s="19"/>
      <c r="F365" s="19"/>
    </row>
    <row r="366">
      <c r="B366" s="26"/>
      <c r="D366" s="18"/>
      <c r="E366" s="19"/>
      <c r="F366" s="19"/>
    </row>
    <row r="367">
      <c r="B367" s="26"/>
      <c r="D367" s="18"/>
      <c r="E367" s="19"/>
      <c r="F367" s="19"/>
    </row>
    <row r="368">
      <c r="B368" s="26"/>
      <c r="D368" s="18"/>
      <c r="E368" s="19"/>
      <c r="F368" s="19"/>
    </row>
    <row r="369">
      <c r="B369" s="26"/>
      <c r="D369" s="18"/>
      <c r="E369" s="19"/>
      <c r="F369" s="19"/>
    </row>
    <row r="370">
      <c r="B370" s="26"/>
      <c r="D370" s="18"/>
      <c r="E370" s="19"/>
      <c r="F370" s="19"/>
    </row>
    <row r="371">
      <c r="B371" s="26"/>
      <c r="D371" s="18"/>
      <c r="E371" s="19"/>
      <c r="F371" s="19"/>
    </row>
    <row r="372">
      <c r="B372" s="26"/>
      <c r="D372" s="18"/>
      <c r="E372" s="19"/>
      <c r="F372" s="19"/>
    </row>
    <row r="373">
      <c r="B373" s="26"/>
      <c r="D373" s="18"/>
      <c r="E373" s="19"/>
      <c r="F373" s="19"/>
    </row>
    <row r="374">
      <c r="B374" s="26"/>
      <c r="D374" s="18"/>
      <c r="E374" s="19"/>
      <c r="F374" s="19"/>
    </row>
    <row r="375">
      <c r="B375" s="26"/>
      <c r="D375" s="18"/>
      <c r="E375" s="19"/>
      <c r="F375" s="19"/>
    </row>
    <row r="376">
      <c r="B376" s="26"/>
      <c r="D376" s="18"/>
      <c r="E376" s="19"/>
      <c r="F376" s="19"/>
    </row>
    <row r="377">
      <c r="B377" s="26"/>
      <c r="D377" s="18"/>
      <c r="E377" s="19"/>
      <c r="F377" s="19"/>
    </row>
    <row r="378">
      <c r="B378" s="26"/>
      <c r="D378" s="18"/>
      <c r="E378" s="19"/>
      <c r="F378" s="19"/>
    </row>
    <row r="379">
      <c r="B379" s="26"/>
      <c r="D379" s="18"/>
      <c r="E379" s="19"/>
      <c r="F379" s="19"/>
    </row>
    <row r="380">
      <c r="B380" s="26"/>
      <c r="D380" s="18"/>
      <c r="E380" s="19"/>
      <c r="F380" s="19"/>
    </row>
    <row r="381">
      <c r="B381" s="26"/>
      <c r="D381" s="18"/>
      <c r="E381" s="19"/>
      <c r="F381" s="19"/>
    </row>
    <row r="382">
      <c r="B382" s="26"/>
      <c r="D382" s="18"/>
      <c r="E382" s="19"/>
      <c r="F382" s="19"/>
    </row>
    <row r="383">
      <c r="B383" s="26"/>
      <c r="D383" s="18"/>
      <c r="E383" s="19"/>
      <c r="F383" s="19"/>
    </row>
    <row r="384">
      <c r="B384" s="26"/>
      <c r="D384" s="18"/>
      <c r="E384" s="19"/>
      <c r="F384" s="19"/>
    </row>
    <row r="385">
      <c r="B385" s="26"/>
      <c r="D385" s="18"/>
      <c r="E385" s="19"/>
      <c r="F385" s="19"/>
    </row>
    <row r="386">
      <c r="B386" s="26"/>
      <c r="D386" s="18"/>
      <c r="E386" s="19"/>
      <c r="F386" s="19"/>
    </row>
    <row r="387">
      <c r="B387" s="26"/>
      <c r="D387" s="18"/>
      <c r="E387" s="19"/>
      <c r="F387" s="19"/>
    </row>
    <row r="388">
      <c r="B388" s="26"/>
      <c r="D388" s="18"/>
      <c r="E388" s="19"/>
      <c r="F388" s="19"/>
    </row>
    <row r="389">
      <c r="B389" s="26"/>
      <c r="D389" s="18"/>
      <c r="E389" s="19"/>
      <c r="F389" s="19"/>
    </row>
    <row r="390">
      <c r="B390" s="26"/>
      <c r="D390" s="18"/>
      <c r="E390" s="19"/>
      <c r="F390" s="19"/>
    </row>
    <row r="391">
      <c r="B391" s="26"/>
      <c r="D391" s="18"/>
      <c r="E391" s="19"/>
      <c r="F391" s="19"/>
    </row>
    <row r="392">
      <c r="B392" s="26"/>
      <c r="D392" s="18"/>
      <c r="E392" s="19"/>
      <c r="F392" s="19"/>
    </row>
    <row r="393">
      <c r="B393" s="26"/>
      <c r="D393" s="18"/>
      <c r="E393" s="19"/>
      <c r="F393" s="19"/>
    </row>
    <row r="394">
      <c r="B394" s="26"/>
      <c r="D394" s="18"/>
      <c r="E394" s="19"/>
      <c r="F394" s="19"/>
    </row>
    <row r="395">
      <c r="B395" s="26"/>
      <c r="D395" s="18"/>
      <c r="E395" s="19"/>
      <c r="F395" s="19"/>
    </row>
    <row r="396">
      <c r="B396" s="26"/>
      <c r="D396" s="18"/>
      <c r="E396" s="19"/>
      <c r="F396" s="19"/>
    </row>
    <row r="397">
      <c r="B397" s="26"/>
      <c r="D397" s="18"/>
      <c r="E397" s="19"/>
      <c r="F397" s="19"/>
    </row>
    <row r="398">
      <c r="B398" s="26"/>
      <c r="D398" s="18"/>
      <c r="E398" s="19"/>
      <c r="F398" s="19"/>
    </row>
    <row r="399">
      <c r="B399" s="26"/>
      <c r="D399" s="18"/>
      <c r="E399" s="19"/>
      <c r="F399" s="19"/>
    </row>
    <row r="400">
      <c r="B400" s="26"/>
      <c r="D400" s="18"/>
      <c r="E400" s="19"/>
      <c r="F400" s="19"/>
    </row>
    <row r="401">
      <c r="B401" s="26"/>
      <c r="D401" s="18"/>
      <c r="E401" s="19"/>
      <c r="F401" s="19"/>
    </row>
    <row r="402">
      <c r="B402" s="26"/>
      <c r="D402" s="18"/>
      <c r="E402" s="19"/>
      <c r="F402" s="19"/>
    </row>
    <row r="403">
      <c r="B403" s="26"/>
      <c r="D403" s="18"/>
      <c r="E403" s="19"/>
      <c r="F403" s="19"/>
    </row>
    <row r="404">
      <c r="B404" s="26"/>
      <c r="D404" s="18"/>
      <c r="E404" s="19"/>
      <c r="F404" s="19"/>
    </row>
    <row r="405">
      <c r="B405" s="26"/>
      <c r="D405" s="18"/>
      <c r="E405" s="19"/>
      <c r="F405" s="19"/>
    </row>
    <row r="406">
      <c r="B406" s="26"/>
      <c r="D406" s="18"/>
      <c r="E406" s="19"/>
      <c r="F406" s="19"/>
    </row>
    <row r="407">
      <c r="B407" s="26"/>
      <c r="D407" s="18"/>
      <c r="E407" s="19"/>
      <c r="F407" s="19"/>
    </row>
    <row r="408">
      <c r="B408" s="26"/>
      <c r="D408" s="18"/>
      <c r="E408" s="19"/>
      <c r="F408" s="19"/>
    </row>
    <row r="409">
      <c r="B409" s="26"/>
      <c r="D409" s="18"/>
      <c r="E409" s="19"/>
      <c r="F409" s="19"/>
    </row>
    <row r="410">
      <c r="B410" s="26"/>
      <c r="D410" s="18"/>
      <c r="E410" s="19"/>
      <c r="F410" s="19"/>
    </row>
    <row r="411">
      <c r="B411" s="26"/>
      <c r="D411" s="18"/>
      <c r="E411" s="19"/>
      <c r="F411" s="19"/>
    </row>
    <row r="412">
      <c r="B412" s="26"/>
      <c r="D412" s="18"/>
      <c r="E412" s="19"/>
      <c r="F412" s="19"/>
    </row>
    <row r="413">
      <c r="B413" s="26"/>
      <c r="D413" s="18"/>
      <c r="E413" s="19"/>
      <c r="F413" s="19"/>
    </row>
    <row r="414">
      <c r="B414" s="26"/>
      <c r="D414" s="18"/>
      <c r="E414" s="19"/>
      <c r="F414" s="19"/>
    </row>
    <row r="415">
      <c r="B415" s="26"/>
      <c r="D415" s="18"/>
      <c r="E415" s="19"/>
      <c r="F415" s="19"/>
    </row>
    <row r="416">
      <c r="B416" s="26"/>
      <c r="D416" s="18"/>
      <c r="E416" s="19"/>
      <c r="F416" s="19"/>
    </row>
    <row r="417">
      <c r="B417" s="26"/>
      <c r="D417" s="18"/>
      <c r="E417" s="19"/>
      <c r="F417" s="19"/>
    </row>
    <row r="418">
      <c r="B418" s="26"/>
      <c r="D418" s="18"/>
      <c r="E418" s="19"/>
      <c r="F418" s="19"/>
    </row>
    <row r="419">
      <c r="B419" s="26"/>
      <c r="D419" s="18"/>
      <c r="E419" s="19"/>
      <c r="F419" s="19"/>
    </row>
    <row r="420">
      <c r="B420" s="26"/>
      <c r="D420" s="18"/>
      <c r="E420" s="19"/>
      <c r="F420" s="19"/>
    </row>
    <row r="421">
      <c r="B421" s="26"/>
      <c r="D421" s="18"/>
      <c r="E421" s="19"/>
      <c r="F421" s="19"/>
    </row>
    <row r="422">
      <c r="B422" s="26"/>
      <c r="D422" s="18"/>
      <c r="E422" s="19"/>
      <c r="F422" s="19"/>
    </row>
    <row r="423">
      <c r="B423" s="26"/>
      <c r="D423" s="18"/>
      <c r="E423" s="19"/>
      <c r="F423" s="19"/>
    </row>
    <row r="424">
      <c r="B424" s="26"/>
      <c r="D424" s="18"/>
      <c r="E424" s="19"/>
      <c r="F424" s="19"/>
    </row>
    <row r="425">
      <c r="B425" s="26"/>
      <c r="D425" s="18"/>
      <c r="E425" s="19"/>
      <c r="F425" s="19"/>
    </row>
    <row r="426">
      <c r="B426" s="26"/>
      <c r="D426" s="18"/>
      <c r="E426" s="19"/>
      <c r="F426" s="19"/>
    </row>
    <row r="427">
      <c r="B427" s="26"/>
      <c r="D427" s="18"/>
      <c r="E427" s="19"/>
      <c r="F427" s="19"/>
    </row>
    <row r="428">
      <c r="B428" s="26"/>
      <c r="D428" s="18"/>
      <c r="E428" s="19"/>
      <c r="F428" s="19"/>
    </row>
    <row r="429">
      <c r="B429" s="26"/>
      <c r="D429" s="18"/>
      <c r="E429" s="19"/>
      <c r="F429" s="19"/>
    </row>
    <row r="430">
      <c r="B430" s="26"/>
      <c r="D430" s="18"/>
      <c r="E430" s="19"/>
      <c r="F430" s="19"/>
    </row>
    <row r="431">
      <c r="B431" s="26"/>
      <c r="D431" s="18"/>
      <c r="E431" s="19"/>
      <c r="F431" s="19"/>
    </row>
    <row r="432">
      <c r="B432" s="26"/>
      <c r="D432" s="18"/>
      <c r="E432" s="19"/>
      <c r="F432" s="19"/>
    </row>
    <row r="433">
      <c r="B433" s="26"/>
      <c r="D433" s="18"/>
      <c r="E433" s="19"/>
      <c r="F433" s="19"/>
    </row>
    <row r="434">
      <c r="B434" s="26"/>
      <c r="D434" s="18"/>
      <c r="E434" s="19"/>
      <c r="F434" s="19"/>
    </row>
    <row r="435">
      <c r="B435" s="26"/>
      <c r="D435" s="18"/>
      <c r="E435" s="19"/>
      <c r="F435" s="19"/>
    </row>
    <row r="436">
      <c r="B436" s="26"/>
      <c r="D436" s="18"/>
      <c r="E436" s="19"/>
      <c r="F436" s="19"/>
    </row>
    <row r="437">
      <c r="B437" s="26"/>
      <c r="D437" s="18"/>
      <c r="E437" s="19"/>
      <c r="F437" s="19"/>
    </row>
    <row r="438">
      <c r="B438" s="26"/>
      <c r="D438" s="18"/>
      <c r="E438" s="19"/>
      <c r="F438" s="19"/>
    </row>
    <row r="439">
      <c r="B439" s="26"/>
      <c r="D439" s="18"/>
      <c r="E439" s="19"/>
      <c r="F439" s="19"/>
    </row>
    <row r="440">
      <c r="B440" s="26"/>
      <c r="D440" s="18"/>
      <c r="E440" s="19"/>
      <c r="F440" s="19"/>
    </row>
    <row r="441">
      <c r="B441" s="26"/>
      <c r="D441" s="18"/>
      <c r="E441" s="19"/>
      <c r="F441" s="19"/>
    </row>
    <row r="442">
      <c r="B442" s="26"/>
      <c r="D442" s="18"/>
      <c r="E442" s="19"/>
      <c r="F442" s="19"/>
    </row>
    <row r="443">
      <c r="B443" s="26"/>
      <c r="D443" s="18"/>
      <c r="E443" s="19"/>
      <c r="F443" s="19"/>
    </row>
    <row r="444">
      <c r="B444" s="26"/>
      <c r="D444" s="18"/>
      <c r="E444" s="19"/>
      <c r="F444" s="19"/>
    </row>
    <row r="445">
      <c r="B445" s="26"/>
      <c r="D445" s="18"/>
      <c r="E445" s="19"/>
      <c r="F445" s="19"/>
    </row>
    <row r="446">
      <c r="B446" s="26"/>
      <c r="D446" s="18"/>
      <c r="E446" s="19"/>
      <c r="F446" s="19"/>
    </row>
    <row r="447">
      <c r="B447" s="26"/>
      <c r="D447" s="18"/>
      <c r="E447" s="19"/>
      <c r="F447" s="19"/>
    </row>
    <row r="448">
      <c r="B448" s="26"/>
      <c r="D448" s="18"/>
      <c r="E448" s="19"/>
      <c r="F448" s="19"/>
    </row>
    <row r="449">
      <c r="B449" s="26"/>
      <c r="D449" s="18"/>
      <c r="E449" s="19"/>
      <c r="F449" s="19"/>
    </row>
    <row r="450">
      <c r="B450" s="26"/>
      <c r="D450" s="18"/>
      <c r="E450" s="19"/>
      <c r="F450" s="19"/>
    </row>
    <row r="451">
      <c r="B451" s="26"/>
      <c r="D451" s="18"/>
      <c r="E451" s="19"/>
      <c r="F451" s="19"/>
    </row>
    <row r="452">
      <c r="B452" s="26"/>
      <c r="D452" s="18"/>
      <c r="E452" s="19"/>
      <c r="F452" s="19"/>
    </row>
    <row r="453">
      <c r="B453" s="26"/>
      <c r="D453" s="18"/>
      <c r="E453" s="19"/>
      <c r="F453" s="19"/>
    </row>
    <row r="454">
      <c r="B454" s="26"/>
      <c r="D454" s="18"/>
      <c r="E454" s="19"/>
      <c r="F454" s="19"/>
    </row>
    <row r="455">
      <c r="B455" s="26"/>
      <c r="D455" s="18"/>
      <c r="E455" s="19"/>
      <c r="F455" s="19"/>
    </row>
    <row r="456">
      <c r="B456" s="26"/>
      <c r="D456" s="18"/>
      <c r="E456" s="19"/>
      <c r="F456" s="19"/>
    </row>
    <row r="457">
      <c r="B457" s="26"/>
      <c r="D457" s="18"/>
      <c r="E457" s="19"/>
      <c r="F457" s="19"/>
    </row>
    <row r="458">
      <c r="B458" s="26"/>
      <c r="D458" s="18"/>
      <c r="E458" s="19"/>
      <c r="F458" s="19"/>
    </row>
    <row r="459">
      <c r="B459" s="26"/>
      <c r="D459" s="18"/>
      <c r="E459" s="19"/>
      <c r="F459" s="19"/>
    </row>
    <row r="460">
      <c r="B460" s="26"/>
      <c r="D460" s="18"/>
      <c r="E460" s="19"/>
      <c r="F460" s="19"/>
    </row>
    <row r="461">
      <c r="B461" s="26"/>
      <c r="D461" s="18"/>
      <c r="E461" s="19"/>
      <c r="F461" s="19"/>
    </row>
    <row r="462">
      <c r="B462" s="26"/>
      <c r="D462" s="18"/>
      <c r="E462" s="19"/>
      <c r="F462" s="19"/>
    </row>
    <row r="463">
      <c r="B463" s="26"/>
      <c r="D463" s="18"/>
      <c r="E463" s="19"/>
      <c r="F463" s="19"/>
    </row>
    <row r="464">
      <c r="B464" s="26"/>
      <c r="D464" s="18"/>
      <c r="E464" s="19"/>
      <c r="F464" s="19"/>
    </row>
    <row r="465">
      <c r="B465" s="26"/>
      <c r="D465" s="18"/>
      <c r="E465" s="19"/>
      <c r="F465" s="19"/>
    </row>
    <row r="466">
      <c r="B466" s="26"/>
      <c r="D466" s="18"/>
      <c r="E466" s="19"/>
      <c r="F466" s="19"/>
    </row>
    <row r="467">
      <c r="B467" s="26"/>
      <c r="D467" s="18"/>
      <c r="E467" s="19"/>
      <c r="F467" s="19"/>
    </row>
    <row r="468">
      <c r="B468" s="26"/>
      <c r="D468" s="18"/>
      <c r="E468" s="19"/>
      <c r="F468" s="19"/>
    </row>
    <row r="469">
      <c r="B469" s="26"/>
      <c r="D469" s="18"/>
      <c r="E469" s="19"/>
      <c r="F469" s="19"/>
    </row>
    <row r="470">
      <c r="B470" s="26"/>
      <c r="D470" s="18"/>
      <c r="E470" s="19"/>
      <c r="F470" s="19"/>
    </row>
    <row r="471">
      <c r="B471" s="26"/>
      <c r="D471" s="18"/>
      <c r="E471" s="19"/>
      <c r="F471" s="19"/>
    </row>
    <row r="472">
      <c r="B472" s="26"/>
      <c r="D472" s="18"/>
      <c r="E472" s="19"/>
      <c r="F472" s="19"/>
    </row>
    <row r="473">
      <c r="B473" s="26"/>
      <c r="D473" s="18"/>
      <c r="E473" s="19"/>
      <c r="F473" s="19"/>
    </row>
    <row r="474">
      <c r="B474" s="26"/>
      <c r="D474" s="18"/>
      <c r="E474" s="19"/>
      <c r="F474" s="19"/>
    </row>
    <row r="475">
      <c r="B475" s="26"/>
      <c r="D475" s="18"/>
      <c r="E475" s="19"/>
      <c r="F475" s="19"/>
    </row>
    <row r="476">
      <c r="B476" s="26"/>
      <c r="D476" s="18"/>
      <c r="E476" s="19"/>
      <c r="F476" s="19"/>
    </row>
    <row r="477">
      <c r="B477" s="26"/>
      <c r="D477" s="18"/>
      <c r="E477" s="19"/>
      <c r="F477" s="19"/>
    </row>
    <row r="478">
      <c r="B478" s="26"/>
      <c r="D478" s="18"/>
      <c r="E478" s="19"/>
      <c r="F478" s="19"/>
    </row>
    <row r="479">
      <c r="B479" s="26"/>
      <c r="D479" s="18"/>
      <c r="E479" s="19"/>
      <c r="F479" s="19"/>
    </row>
    <row r="480">
      <c r="B480" s="26"/>
      <c r="D480" s="18"/>
      <c r="E480" s="19"/>
      <c r="F480" s="19"/>
    </row>
    <row r="481">
      <c r="B481" s="26"/>
      <c r="D481" s="18"/>
      <c r="E481" s="19"/>
      <c r="F481" s="19"/>
    </row>
    <row r="482">
      <c r="B482" s="26"/>
      <c r="D482" s="18"/>
      <c r="E482" s="19"/>
      <c r="F482" s="19"/>
    </row>
    <row r="483">
      <c r="B483" s="26"/>
      <c r="D483" s="18"/>
      <c r="E483" s="19"/>
      <c r="F483" s="19"/>
    </row>
    <row r="484">
      <c r="B484" s="26"/>
      <c r="D484" s="18"/>
      <c r="E484" s="19"/>
      <c r="F484" s="19"/>
    </row>
    <row r="485">
      <c r="B485" s="26"/>
      <c r="D485" s="18"/>
      <c r="E485" s="19"/>
      <c r="F485" s="19"/>
    </row>
    <row r="486">
      <c r="B486" s="26"/>
      <c r="D486" s="18"/>
      <c r="E486" s="19"/>
      <c r="F486" s="19"/>
    </row>
    <row r="487">
      <c r="B487" s="26"/>
      <c r="D487" s="18"/>
      <c r="E487" s="19"/>
      <c r="F487" s="19"/>
    </row>
    <row r="488">
      <c r="B488" s="26"/>
      <c r="D488" s="18"/>
      <c r="E488" s="19"/>
      <c r="F488" s="19"/>
    </row>
    <row r="489">
      <c r="B489" s="26"/>
      <c r="D489" s="18"/>
      <c r="E489" s="19"/>
      <c r="F489" s="19"/>
    </row>
    <row r="490">
      <c r="B490" s="26"/>
      <c r="D490" s="18"/>
      <c r="E490" s="19"/>
      <c r="F490" s="19"/>
    </row>
    <row r="491">
      <c r="B491" s="26"/>
      <c r="D491" s="18"/>
      <c r="E491" s="19"/>
      <c r="F491" s="19"/>
    </row>
    <row r="492">
      <c r="B492" s="26"/>
      <c r="D492" s="18"/>
      <c r="E492" s="19"/>
      <c r="F492" s="19"/>
    </row>
    <row r="493">
      <c r="B493" s="26"/>
      <c r="D493" s="18"/>
      <c r="E493" s="19"/>
      <c r="F493" s="19"/>
    </row>
    <row r="494">
      <c r="B494" s="26"/>
      <c r="D494" s="18"/>
      <c r="E494" s="19"/>
      <c r="F494" s="19"/>
    </row>
    <row r="495">
      <c r="B495" s="26"/>
      <c r="D495" s="18"/>
      <c r="E495" s="19"/>
      <c r="F495" s="19"/>
    </row>
    <row r="496">
      <c r="B496" s="26"/>
      <c r="D496" s="18"/>
      <c r="E496" s="19"/>
      <c r="F496" s="19"/>
    </row>
    <row r="497">
      <c r="B497" s="26"/>
      <c r="D497" s="18"/>
      <c r="E497" s="19"/>
      <c r="F497" s="19"/>
    </row>
    <row r="498">
      <c r="B498" s="26"/>
      <c r="D498" s="18"/>
      <c r="E498" s="19"/>
      <c r="F498" s="19"/>
    </row>
    <row r="499">
      <c r="B499" s="26"/>
      <c r="D499" s="18"/>
      <c r="E499" s="19"/>
      <c r="F499" s="19"/>
    </row>
    <row r="500">
      <c r="B500" s="26"/>
      <c r="D500" s="18"/>
      <c r="E500" s="19"/>
      <c r="F500" s="19"/>
    </row>
    <row r="501">
      <c r="B501" s="26"/>
      <c r="D501" s="18"/>
      <c r="E501" s="19"/>
      <c r="F501" s="19"/>
    </row>
    <row r="502">
      <c r="B502" s="26"/>
      <c r="D502" s="18"/>
      <c r="E502" s="19"/>
      <c r="F502" s="19"/>
    </row>
    <row r="503">
      <c r="B503" s="26"/>
      <c r="D503" s="18"/>
      <c r="E503" s="19"/>
      <c r="F503" s="19"/>
    </row>
    <row r="504">
      <c r="B504" s="26"/>
      <c r="D504" s="18"/>
      <c r="E504" s="19"/>
      <c r="F504" s="19"/>
    </row>
    <row r="505">
      <c r="B505" s="26"/>
      <c r="D505" s="18"/>
      <c r="E505" s="19"/>
      <c r="F505" s="19"/>
    </row>
    <row r="506">
      <c r="B506" s="26"/>
      <c r="D506" s="18"/>
      <c r="E506" s="19"/>
      <c r="F506" s="19"/>
    </row>
    <row r="507">
      <c r="B507" s="26"/>
      <c r="D507" s="18"/>
      <c r="E507" s="19"/>
      <c r="F507" s="19"/>
    </row>
    <row r="508">
      <c r="B508" s="26"/>
      <c r="D508" s="18"/>
      <c r="E508" s="19"/>
      <c r="F508" s="19"/>
    </row>
    <row r="509">
      <c r="B509" s="26"/>
      <c r="D509" s="18"/>
      <c r="E509" s="19"/>
      <c r="F509" s="19"/>
    </row>
    <row r="510">
      <c r="B510" s="26"/>
      <c r="D510" s="18"/>
      <c r="E510" s="19"/>
      <c r="F510" s="19"/>
    </row>
    <row r="511">
      <c r="B511" s="26"/>
      <c r="D511" s="18"/>
      <c r="E511" s="19"/>
      <c r="F511" s="19"/>
    </row>
    <row r="512">
      <c r="B512" s="26"/>
      <c r="D512" s="18"/>
      <c r="E512" s="19"/>
      <c r="F512" s="19"/>
    </row>
    <row r="513">
      <c r="B513" s="26"/>
      <c r="D513" s="18"/>
      <c r="E513" s="19"/>
      <c r="F513" s="19"/>
    </row>
    <row r="514">
      <c r="B514" s="26"/>
      <c r="D514" s="18"/>
      <c r="E514" s="19"/>
      <c r="F514" s="19"/>
    </row>
    <row r="515">
      <c r="B515" s="26"/>
      <c r="D515" s="18"/>
      <c r="E515" s="19"/>
      <c r="F515" s="19"/>
    </row>
    <row r="516">
      <c r="B516" s="26"/>
      <c r="D516" s="18"/>
      <c r="E516" s="19"/>
      <c r="F516" s="19"/>
    </row>
    <row r="517">
      <c r="B517" s="26"/>
      <c r="D517" s="18"/>
      <c r="E517" s="19"/>
      <c r="F517" s="19"/>
    </row>
    <row r="518">
      <c r="B518" s="26"/>
      <c r="D518" s="18"/>
      <c r="E518" s="19"/>
      <c r="F518" s="19"/>
    </row>
    <row r="519">
      <c r="B519" s="26"/>
      <c r="D519" s="18"/>
      <c r="E519" s="19"/>
      <c r="F519" s="19"/>
    </row>
    <row r="520">
      <c r="B520" s="26"/>
      <c r="D520" s="18"/>
      <c r="E520" s="19"/>
      <c r="F520" s="19"/>
    </row>
    <row r="521">
      <c r="B521" s="26"/>
      <c r="D521" s="18"/>
      <c r="E521" s="19"/>
      <c r="F521" s="19"/>
    </row>
    <row r="522">
      <c r="B522" s="26"/>
      <c r="D522" s="18"/>
      <c r="E522" s="19"/>
      <c r="F522" s="19"/>
    </row>
    <row r="523">
      <c r="B523" s="26"/>
      <c r="D523" s="18"/>
      <c r="E523" s="19"/>
      <c r="F523" s="19"/>
    </row>
    <row r="524">
      <c r="B524" s="26"/>
      <c r="D524" s="18"/>
      <c r="E524" s="19"/>
      <c r="F524" s="19"/>
    </row>
    <row r="525">
      <c r="B525" s="26"/>
      <c r="D525" s="18"/>
      <c r="E525" s="19"/>
      <c r="F525" s="19"/>
    </row>
    <row r="526">
      <c r="B526" s="26"/>
      <c r="D526" s="18"/>
      <c r="E526" s="19"/>
      <c r="F526" s="19"/>
    </row>
    <row r="527">
      <c r="B527" s="26"/>
      <c r="D527" s="18"/>
      <c r="E527" s="19"/>
      <c r="F527" s="19"/>
    </row>
    <row r="528">
      <c r="B528" s="26"/>
      <c r="D528" s="18"/>
      <c r="E528" s="19"/>
      <c r="F528" s="19"/>
    </row>
    <row r="529">
      <c r="B529" s="26"/>
      <c r="D529" s="18"/>
      <c r="E529" s="19"/>
      <c r="F529" s="19"/>
    </row>
    <row r="530">
      <c r="B530" s="26"/>
      <c r="D530" s="18"/>
      <c r="E530" s="19"/>
      <c r="F530" s="19"/>
    </row>
    <row r="531">
      <c r="B531" s="26"/>
      <c r="D531" s="18"/>
      <c r="E531" s="19"/>
      <c r="F531" s="19"/>
    </row>
    <row r="532">
      <c r="B532" s="26"/>
      <c r="D532" s="18"/>
      <c r="E532" s="19"/>
      <c r="F532" s="19"/>
    </row>
    <row r="533">
      <c r="B533" s="26"/>
      <c r="D533" s="18"/>
      <c r="E533" s="19"/>
      <c r="F533" s="19"/>
    </row>
    <row r="534">
      <c r="B534" s="26"/>
      <c r="D534" s="18"/>
      <c r="E534" s="19"/>
      <c r="F534" s="19"/>
    </row>
    <row r="535">
      <c r="B535" s="26"/>
      <c r="D535" s="18"/>
      <c r="E535" s="19"/>
      <c r="F535" s="19"/>
    </row>
    <row r="536">
      <c r="B536" s="26"/>
      <c r="D536" s="18"/>
      <c r="E536" s="19"/>
      <c r="F536" s="19"/>
    </row>
    <row r="537">
      <c r="B537" s="26"/>
      <c r="D537" s="18"/>
      <c r="E537" s="19"/>
      <c r="F537" s="19"/>
    </row>
    <row r="538">
      <c r="B538" s="26"/>
      <c r="D538" s="18"/>
      <c r="E538" s="19"/>
      <c r="F538" s="19"/>
    </row>
    <row r="539">
      <c r="B539" s="26"/>
      <c r="D539" s="18"/>
      <c r="E539" s="19"/>
      <c r="F539" s="19"/>
    </row>
    <row r="540">
      <c r="B540" s="26"/>
      <c r="D540" s="18"/>
      <c r="E540" s="19"/>
      <c r="F540" s="19"/>
    </row>
    <row r="541">
      <c r="B541" s="26"/>
      <c r="D541" s="18"/>
      <c r="E541" s="19"/>
      <c r="F541" s="19"/>
    </row>
    <row r="542">
      <c r="B542" s="26"/>
      <c r="D542" s="18"/>
      <c r="E542" s="19"/>
      <c r="F542" s="19"/>
    </row>
    <row r="543">
      <c r="B543" s="26"/>
      <c r="D543" s="18"/>
      <c r="E543" s="19"/>
      <c r="F543" s="19"/>
    </row>
    <row r="544">
      <c r="B544" s="26"/>
      <c r="D544" s="18"/>
      <c r="E544" s="19"/>
      <c r="F544" s="19"/>
    </row>
    <row r="545">
      <c r="B545" s="26"/>
      <c r="D545" s="18"/>
      <c r="E545" s="19"/>
      <c r="F545" s="19"/>
    </row>
    <row r="546">
      <c r="B546" s="26"/>
      <c r="D546" s="18"/>
      <c r="E546" s="19"/>
      <c r="F546" s="19"/>
    </row>
    <row r="547">
      <c r="B547" s="26"/>
      <c r="D547" s="18"/>
      <c r="E547" s="19"/>
      <c r="F547" s="19"/>
    </row>
    <row r="548">
      <c r="B548" s="26"/>
      <c r="D548" s="18"/>
      <c r="E548" s="19"/>
      <c r="F548" s="19"/>
    </row>
    <row r="549">
      <c r="B549" s="26"/>
      <c r="D549" s="18"/>
      <c r="E549" s="19"/>
      <c r="F549" s="19"/>
    </row>
    <row r="550">
      <c r="B550" s="26"/>
      <c r="D550" s="18"/>
      <c r="E550" s="19"/>
      <c r="F550" s="19"/>
    </row>
    <row r="551">
      <c r="B551" s="26"/>
      <c r="D551" s="18"/>
      <c r="E551" s="19"/>
      <c r="F551" s="19"/>
    </row>
    <row r="552">
      <c r="B552" s="26"/>
      <c r="D552" s="18"/>
      <c r="E552" s="19"/>
      <c r="F552" s="19"/>
    </row>
    <row r="553">
      <c r="B553" s="26"/>
      <c r="D553" s="18"/>
      <c r="E553" s="19"/>
      <c r="F553" s="19"/>
    </row>
    <row r="554">
      <c r="B554" s="26"/>
      <c r="D554" s="18"/>
      <c r="E554" s="19"/>
      <c r="F554" s="19"/>
    </row>
    <row r="555">
      <c r="B555" s="26"/>
      <c r="D555" s="18"/>
      <c r="E555" s="19"/>
      <c r="F555" s="19"/>
    </row>
    <row r="556">
      <c r="B556" s="26"/>
      <c r="D556" s="18"/>
      <c r="E556" s="19"/>
      <c r="F556" s="19"/>
    </row>
    <row r="557">
      <c r="B557" s="26"/>
      <c r="D557" s="18"/>
      <c r="E557" s="19"/>
      <c r="F557" s="19"/>
    </row>
    <row r="558">
      <c r="B558" s="26"/>
      <c r="D558" s="18"/>
      <c r="E558" s="19"/>
      <c r="F558" s="19"/>
    </row>
    <row r="559">
      <c r="B559" s="26"/>
      <c r="D559" s="18"/>
      <c r="E559" s="19"/>
      <c r="F559" s="19"/>
    </row>
    <row r="560">
      <c r="B560" s="26"/>
      <c r="D560" s="18"/>
      <c r="E560" s="19"/>
      <c r="F560" s="19"/>
    </row>
    <row r="561">
      <c r="B561" s="26"/>
      <c r="D561" s="18"/>
      <c r="E561" s="19"/>
      <c r="F561" s="19"/>
    </row>
    <row r="562">
      <c r="B562" s="26"/>
      <c r="D562" s="18"/>
      <c r="E562" s="19"/>
      <c r="F562" s="19"/>
    </row>
    <row r="563">
      <c r="B563" s="26"/>
      <c r="D563" s="18"/>
      <c r="E563" s="19"/>
      <c r="F563" s="19"/>
    </row>
    <row r="564">
      <c r="B564" s="26"/>
      <c r="D564" s="18"/>
      <c r="E564" s="19"/>
      <c r="F564" s="19"/>
    </row>
    <row r="565">
      <c r="B565" s="26"/>
      <c r="D565" s="18"/>
      <c r="E565" s="19"/>
      <c r="F565" s="19"/>
    </row>
    <row r="566">
      <c r="B566" s="26"/>
      <c r="D566" s="18"/>
      <c r="E566" s="19"/>
      <c r="F566" s="19"/>
    </row>
    <row r="567">
      <c r="B567" s="26"/>
      <c r="D567" s="18"/>
      <c r="E567" s="19"/>
      <c r="F567" s="19"/>
    </row>
    <row r="568">
      <c r="B568" s="26"/>
      <c r="D568" s="18"/>
      <c r="E568" s="19"/>
      <c r="F568" s="19"/>
    </row>
    <row r="569">
      <c r="B569" s="26"/>
      <c r="D569" s="18"/>
      <c r="E569" s="19"/>
      <c r="F569" s="19"/>
    </row>
    <row r="570">
      <c r="B570" s="26"/>
      <c r="D570" s="18"/>
      <c r="E570" s="19"/>
      <c r="F570" s="19"/>
    </row>
    <row r="571">
      <c r="B571" s="26"/>
      <c r="D571" s="18"/>
      <c r="E571" s="19"/>
      <c r="F571" s="19"/>
    </row>
    <row r="572">
      <c r="B572" s="26"/>
      <c r="D572" s="18"/>
      <c r="E572" s="19"/>
      <c r="F572" s="19"/>
    </row>
    <row r="573">
      <c r="B573" s="26"/>
      <c r="D573" s="18"/>
      <c r="E573" s="19"/>
      <c r="F573" s="19"/>
    </row>
    <row r="574">
      <c r="B574" s="26"/>
      <c r="D574" s="18"/>
      <c r="E574" s="19"/>
      <c r="F574" s="19"/>
    </row>
    <row r="575">
      <c r="B575" s="26"/>
      <c r="D575" s="18"/>
      <c r="E575" s="19"/>
      <c r="F575" s="19"/>
    </row>
    <row r="576">
      <c r="B576" s="26"/>
      <c r="D576" s="18"/>
      <c r="E576" s="19"/>
      <c r="F576" s="19"/>
    </row>
    <row r="577">
      <c r="B577" s="26"/>
      <c r="D577" s="18"/>
      <c r="E577" s="19"/>
      <c r="F577" s="19"/>
    </row>
    <row r="578">
      <c r="B578" s="26"/>
      <c r="D578" s="18"/>
      <c r="E578" s="19"/>
      <c r="F578" s="19"/>
    </row>
    <row r="579">
      <c r="B579" s="26"/>
      <c r="D579" s="18"/>
      <c r="E579" s="19"/>
      <c r="F579" s="19"/>
    </row>
    <row r="580">
      <c r="B580" s="26"/>
      <c r="D580" s="18"/>
      <c r="E580" s="19"/>
      <c r="F580" s="19"/>
    </row>
    <row r="581">
      <c r="B581" s="26"/>
      <c r="D581" s="18"/>
      <c r="E581" s="19"/>
      <c r="F581" s="19"/>
    </row>
    <row r="582">
      <c r="B582" s="26"/>
      <c r="D582" s="18"/>
      <c r="E582" s="19"/>
      <c r="F582" s="19"/>
    </row>
    <row r="583">
      <c r="B583" s="26"/>
      <c r="D583" s="18"/>
      <c r="E583" s="19"/>
      <c r="F583" s="19"/>
    </row>
    <row r="584">
      <c r="B584" s="26"/>
      <c r="D584" s="18"/>
      <c r="E584" s="19"/>
      <c r="F584" s="19"/>
    </row>
    <row r="585">
      <c r="B585" s="26"/>
      <c r="D585" s="18"/>
      <c r="E585" s="19"/>
      <c r="F585" s="19"/>
    </row>
    <row r="586">
      <c r="B586" s="26"/>
      <c r="D586" s="18"/>
      <c r="E586" s="19"/>
      <c r="F586" s="19"/>
    </row>
    <row r="587">
      <c r="B587" s="26"/>
      <c r="D587" s="18"/>
      <c r="E587" s="19"/>
      <c r="F587" s="19"/>
    </row>
    <row r="588">
      <c r="B588" s="26"/>
      <c r="D588" s="18"/>
      <c r="E588" s="19"/>
      <c r="F588" s="19"/>
    </row>
    <row r="589">
      <c r="B589" s="26"/>
      <c r="D589" s="18"/>
      <c r="E589" s="19"/>
      <c r="F589" s="19"/>
    </row>
    <row r="590">
      <c r="B590" s="26"/>
      <c r="D590" s="18"/>
      <c r="E590" s="19"/>
      <c r="F590" s="19"/>
    </row>
    <row r="591">
      <c r="B591" s="26"/>
      <c r="D591" s="18"/>
      <c r="E591" s="19"/>
      <c r="F591" s="19"/>
    </row>
    <row r="592">
      <c r="B592" s="26"/>
      <c r="D592" s="18"/>
      <c r="E592" s="19"/>
      <c r="F592" s="19"/>
    </row>
    <row r="593">
      <c r="B593" s="26"/>
      <c r="D593" s="18"/>
      <c r="E593" s="19"/>
      <c r="F593" s="19"/>
    </row>
    <row r="594">
      <c r="B594" s="26"/>
      <c r="D594" s="18"/>
      <c r="E594" s="19"/>
      <c r="F594" s="19"/>
    </row>
    <row r="595">
      <c r="B595" s="26"/>
      <c r="D595" s="18"/>
      <c r="E595" s="19"/>
      <c r="F595" s="19"/>
    </row>
    <row r="596">
      <c r="B596" s="26"/>
      <c r="D596" s="18"/>
      <c r="E596" s="19"/>
      <c r="F596" s="19"/>
    </row>
    <row r="597">
      <c r="B597" s="26"/>
      <c r="D597" s="18"/>
      <c r="E597" s="19"/>
      <c r="F597" s="19"/>
    </row>
    <row r="598">
      <c r="B598" s="26"/>
      <c r="D598" s="18"/>
      <c r="E598" s="19"/>
      <c r="F598" s="19"/>
    </row>
    <row r="599">
      <c r="B599" s="26"/>
      <c r="D599" s="18"/>
      <c r="E599" s="19"/>
      <c r="F599" s="19"/>
    </row>
    <row r="600">
      <c r="B600" s="26"/>
      <c r="D600" s="18"/>
      <c r="E600" s="19"/>
      <c r="F600" s="19"/>
    </row>
    <row r="601">
      <c r="B601" s="26"/>
      <c r="D601" s="18"/>
      <c r="E601" s="19"/>
      <c r="F601" s="19"/>
    </row>
    <row r="602">
      <c r="B602" s="26"/>
      <c r="D602" s="18"/>
      <c r="E602" s="19"/>
      <c r="F602" s="19"/>
    </row>
    <row r="603">
      <c r="B603" s="26"/>
      <c r="D603" s="18"/>
      <c r="E603" s="19"/>
      <c r="F603" s="19"/>
    </row>
    <row r="604">
      <c r="B604" s="26"/>
      <c r="D604" s="18"/>
      <c r="E604" s="19"/>
      <c r="F604" s="19"/>
    </row>
    <row r="605">
      <c r="B605" s="26"/>
      <c r="D605" s="18"/>
      <c r="E605" s="19"/>
      <c r="F605" s="19"/>
    </row>
    <row r="606">
      <c r="B606" s="26"/>
      <c r="D606" s="18"/>
      <c r="E606" s="19"/>
      <c r="F606" s="19"/>
    </row>
    <row r="607">
      <c r="B607" s="26"/>
      <c r="D607" s="18"/>
      <c r="E607" s="19"/>
      <c r="F607" s="19"/>
    </row>
    <row r="608">
      <c r="B608" s="26"/>
      <c r="D608" s="18"/>
      <c r="E608" s="19"/>
      <c r="F608" s="19"/>
    </row>
    <row r="609">
      <c r="B609" s="26"/>
      <c r="D609" s="18"/>
      <c r="E609" s="19"/>
      <c r="F609" s="19"/>
    </row>
    <row r="610">
      <c r="B610" s="26"/>
      <c r="D610" s="18"/>
      <c r="E610" s="19"/>
      <c r="F610" s="19"/>
    </row>
    <row r="611">
      <c r="B611" s="26"/>
      <c r="D611" s="18"/>
      <c r="E611" s="19"/>
      <c r="F611" s="19"/>
    </row>
    <row r="612">
      <c r="B612" s="26"/>
      <c r="D612" s="18"/>
      <c r="E612" s="19"/>
      <c r="F612" s="19"/>
    </row>
    <row r="613">
      <c r="B613" s="26"/>
      <c r="D613" s="18"/>
      <c r="E613" s="19"/>
      <c r="F613" s="19"/>
    </row>
    <row r="614">
      <c r="B614" s="26"/>
      <c r="D614" s="18"/>
      <c r="E614" s="19"/>
      <c r="F614" s="19"/>
    </row>
    <row r="615">
      <c r="B615" s="26"/>
      <c r="D615" s="18"/>
      <c r="E615" s="19"/>
      <c r="F615" s="19"/>
    </row>
    <row r="616">
      <c r="B616" s="26"/>
      <c r="D616" s="18"/>
      <c r="E616" s="19"/>
      <c r="F616" s="19"/>
    </row>
    <row r="617">
      <c r="B617" s="26"/>
      <c r="D617" s="18"/>
      <c r="E617" s="19"/>
      <c r="F617" s="19"/>
    </row>
    <row r="618">
      <c r="B618" s="26"/>
      <c r="D618" s="18"/>
      <c r="E618" s="19"/>
      <c r="F618" s="19"/>
    </row>
    <row r="619">
      <c r="B619" s="26"/>
      <c r="D619" s="18"/>
      <c r="E619" s="19"/>
      <c r="F619" s="19"/>
    </row>
    <row r="620">
      <c r="B620" s="26"/>
      <c r="D620" s="18"/>
      <c r="E620" s="19"/>
      <c r="F620" s="19"/>
    </row>
    <row r="621">
      <c r="B621" s="26"/>
      <c r="D621" s="18"/>
      <c r="E621" s="19"/>
      <c r="F621" s="19"/>
    </row>
    <row r="622">
      <c r="B622" s="26"/>
      <c r="D622" s="18"/>
      <c r="E622" s="19"/>
      <c r="F622" s="19"/>
    </row>
    <row r="623">
      <c r="B623" s="26"/>
      <c r="D623" s="18"/>
      <c r="E623" s="19"/>
      <c r="F623" s="19"/>
    </row>
    <row r="624">
      <c r="B624" s="26"/>
      <c r="D624" s="18"/>
      <c r="E624" s="19"/>
      <c r="F624" s="19"/>
    </row>
    <row r="625">
      <c r="B625" s="26"/>
      <c r="D625" s="18"/>
      <c r="E625" s="19"/>
      <c r="F625" s="19"/>
    </row>
    <row r="626">
      <c r="B626" s="26"/>
      <c r="D626" s="18"/>
      <c r="E626" s="19"/>
      <c r="F626" s="19"/>
    </row>
    <row r="627">
      <c r="B627" s="26"/>
      <c r="D627" s="18"/>
      <c r="E627" s="19"/>
      <c r="F627" s="19"/>
    </row>
    <row r="628">
      <c r="B628" s="26"/>
      <c r="D628" s="18"/>
      <c r="E628" s="19"/>
      <c r="F628" s="19"/>
    </row>
    <row r="629">
      <c r="B629" s="26"/>
      <c r="D629" s="18"/>
      <c r="E629" s="19"/>
      <c r="F629" s="19"/>
    </row>
    <row r="630">
      <c r="B630" s="26"/>
      <c r="D630" s="18"/>
      <c r="E630" s="19"/>
      <c r="F630" s="19"/>
    </row>
    <row r="631">
      <c r="B631" s="26"/>
      <c r="D631" s="18"/>
      <c r="E631" s="19"/>
      <c r="F631" s="19"/>
    </row>
    <row r="632">
      <c r="B632" s="26"/>
      <c r="D632" s="18"/>
      <c r="E632" s="19"/>
      <c r="F632" s="19"/>
    </row>
    <row r="633">
      <c r="B633" s="26"/>
      <c r="D633" s="18"/>
      <c r="E633" s="19"/>
      <c r="F633" s="19"/>
    </row>
    <row r="634">
      <c r="B634" s="26"/>
      <c r="D634" s="18"/>
      <c r="E634" s="19"/>
      <c r="F634" s="19"/>
    </row>
    <row r="635">
      <c r="B635" s="26"/>
      <c r="D635" s="18"/>
      <c r="E635" s="19"/>
      <c r="F635" s="19"/>
    </row>
    <row r="636">
      <c r="B636" s="26"/>
      <c r="D636" s="18"/>
      <c r="E636" s="19"/>
      <c r="F636" s="19"/>
    </row>
    <row r="637">
      <c r="B637" s="26"/>
      <c r="D637" s="18"/>
      <c r="E637" s="19"/>
      <c r="F637" s="19"/>
    </row>
    <row r="638">
      <c r="B638" s="26"/>
      <c r="D638" s="18"/>
      <c r="E638" s="19"/>
      <c r="F638" s="19"/>
    </row>
    <row r="639">
      <c r="B639" s="26"/>
      <c r="D639" s="18"/>
      <c r="E639" s="19"/>
      <c r="F639" s="19"/>
    </row>
    <row r="640">
      <c r="B640" s="26"/>
      <c r="D640" s="18"/>
      <c r="E640" s="19"/>
      <c r="F640" s="19"/>
    </row>
    <row r="641">
      <c r="B641" s="26"/>
      <c r="D641" s="18"/>
      <c r="E641" s="19"/>
      <c r="F641" s="19"/>
    </row>
    <row r="642">
      <c r="B642" s="26"/>
      <c r="D642" s="18"/>
      <c r="E642" s="19"/>
      <c r="F642" s="19"/>
    </row>
    <row r="643">
      <c r="B643" s="26"/>
      <c r="D643" s="18"/>
      <c r="E643" s="19"/>
      <c r="F643" s="19"/>
    </row>
    <row r="644">
      <c r="B644" s="26"/>
      <c r="D644" s="18"/>
      <c r="E644" s="19"/>
      <c r="F644" s="19"/>
    </row>
    <row r="645">
      <c r="B645" s="26"/>
      <c r="D645" s="18"/>
      <c r="E645" s="19"/>
      <c r="F645" s="19"/>
    </row>
    <row r="646">
      <c r="B646" s="26"/>
      <c r="D646" s="18"/>
      <c r="E646" s="19"/>
      <c r="F646" s="19"/>
    </row>
    <row r="647">
      <c r="B647" s="26"/>
      <c r="D647" s="18"/>
      <c r="E647" s="19"/>
      <c r="F647" s="19"/>
    </row>
    <row r="648">
      <c r="B648" s="26"/>
      <c r="D648" s="18"/>
      <c r="E648" s="19"/>
      <c r="F648" s="19"/>
    </row>
    <row r="649">
      <c r="B649" s="26"/>
      <c r="D649" s="18"/>
      <c r="E649" s="19"/>
      <c r="F649" s="19"/>
    </row>
    <row r="650">
      <c r="B650" s="26"/>
      <c r="D650" s="18"/>
      <c r="E650" s="19"/>
      <c r="F650" s="19"/>
    </row>
    <row r="651">
      <c r="B651" s="26"/>
      <c r="D651" s="18"/>
      <c r="E651" s="19"/>
      <c r="F651" s="19"/>
    </row>
    <row r="652">
      <c r="B652" s="26"/>
      <c r="D652" s="18"/>
      <c r="E652" s="19"/>
      <c r="F652" s="19"/>
    </row>
    <row r="653">
      <c r="B653" s="26"/>
      <c r="D653" s="18"/>
      <c r="E653" s="19"/>
      <c r="F653" s="19"/>
    </row>
    <row r="654">
      <c r="B654" s="26"/>
      <c r="D654" s="18"/>
      <c r="E654" s="19"/>
      <c r="F654" s="19"/>
    </row>
    <row r="655">
      <c r="B655" s="26"/>
      <c r="D655" s="18"/>
      <c r="E655" s="19"/>
      <c r="F655" s="19"/>
    </row>
    <row r="656">
      <c r="B656" s="26"/>
      <c r="D656" s="18"/>
      <c r="E656" s="19"/>
      <c r="F656" s="19"/>
    </row>
    <row r="657">
      <c r="B657" s="26"/>
      <c r="D657" s="18"/>
      <c r="E657" s="19"/>
      <c r="F657" s="19"/>
    </row>
    <row r="658">
      <c r="B658" s="26"/>
      <c r="D658" s="18"/>
      <c r="E658" s="19"/>
      <c r="F658" s="19"/>
    </row>
    <row r="659">
      <c r="B659" s="26"/>
      <c r="D659" s="18"/>
      <c r="E659" s="19"/>
      <c r="F659" s="19"/>
    </row>
    <row r="660">
      <c r="B660" s="26"/>
      <c r="D660" s="18"/>
      <c r="E660" s="19"/>
      <c r="F660" s="19"/>
    </row>
    <row r="661">
      <c r="B661" s="26"/>
      <c r="D661" s="18"/>
      <c r="E661" s="19"/>
      <c r="F661" s="19"/>
    </row>
    <row r="662">
      <c r="B662" s="26"/>
      <c r="D662" s="18"/>
      <c r="E662" s="19"/>
      <c r="F662" s="19"/>
    </row>
    <row r="663">
      <c r="B663" s="26"/>
      <c r="D663" s="18"/>
      <c r="E663" s="19"/>
      <c r="F663" s="19"/>
    </row>
    <row r="664">
      <c r="B664" s="26"/>
      <c r="D664" s="18"/>
      <c r="E664" s="19"/>
      <c r="F664" s="19"/>
    </row>
    <row r="665">
      <c r="B665" s="26"/>
      <c r="D665" s="18"/>
      <c r="E665" s="19"/>
      <c r="F665" s="19"/>
    </row>
    <row r="666">
      <c r="B666" s="26"/>
      <c r="D666" s="18"/>
      <c r="E666" s="19"/>
      <c r="F666" s="19"/>
    </row>
    <row r="667">
      <c r="B667" s="26"/>
      <c r="D667" s="18"/>
      <c r="E667" s="19"/>
      <c r="F667" s="19"/>
    </row>
    <row r="668">
      <c r="B668" s="26"/>
      <c r="D668" s="18"/>
      <c r="E668" s="19"/>
      <c r="F668" s="19"/>
    </row>
    <row r="669">
      <c r="B669" s="26"/>
      <c r="D669" s="18"/>
      <c r="E669" s="19"/>
      <c r="F669" s="19"/>
    </row>
    <row r="670">
      <c r="B670" s="26"/>
      <c r="D670" s="18"/>
      <c r="E670" s="19"/>
      <c r="F670" s="19"/>
    </row>
    <row r="671">
      <c r="B671" s="26"/>
      <c r="D671" s="18"/>
      <c r="E671" s="19"/>
      <c r="F671" s="19"/>
    </row>
    <row r="672">
      <c r="B672" s="26"/>
      <c r="D672" s="18"/>
      <c r="E672" s="19"/>
      <c r="F672" s="19"/>
    </row>
    <row r="673">
      <c r="B673" s="26"/>
      <c r="D673" s="18"/>
      <c r="E673" s="19"/>
      <c r="F673" s="19"/>
    </row>
    <row r="674">
      <c r="B674" s="26"/>
      <c r="D674" s="18"/>
      <c r="E674" s="19"/>
      <c r="F674" s="19"/>
    </row>
    <row r="675">
      <c r="B675" s="26"/>
      <c r="D675" s="18"/>
      <c r="E675" s="19"/>
      <c r="F675" s="19"/>
    </row>
    <row r="676">
      <c r="B676" s="26"/>
      <c r="D676" s="18"/>
      <c r="E676" s="19"/>
      <c r="F676" s="19"/>
    </row>
    <row r="677">
      <c r="B677" s="26"/>
      <c r="D677" s="18"/>
      <c r="E677" s="19"/>
      <c r="F677" s="19"/>
    </row>
    <row r="678">
      <c r="B678" s="26"/>
      <c r="D678" s="18"/>
      <c r="E678" s="19"/>
      <c r="F678" s="19"/>
    </row>
    <row r="679">
      <c r="B679" s="26"/>
      <c r="D679" s="18"/>
      <c r="E679" s="19"/>
      <c r="F679" s="19"/>
    </row>
    <row r="680">
      <c r="B680" s="26"/>
      <c r="D680" s="18"/>
      <c r="E680" s="19"/>
      <c r="F680" s="19"/>
    </row>
    <row r="681">
      <c r="B681" s="26"/>
      <c r="D681" s="18"/>
      <c r="E681" s="19"/>
      <c r="F681" s="19"/>
    </row>
    <row r="682">
      <c r="B682" s="26"/>
      <c r="D682" s="18"/>
      <c r="E682" s="19"/>
      <c r="F682" s="19"/>
    </row>
    <row r="683">
      <c r="B683" s="26"/>
      <c r="D683" s="18"/>
      <c r="E683" s="19"/>
      <c r="F683" s="19"/>
    </row>
    <row r="684">
      <c r="B684" s="26"/>
      <c r="D684" s="18"/>
      <c r="E684" s="19"/>
      <c r="F684" s="19"/>
    </row>
    <row r="685">
      <c r="B685" s="26"/>
      <c r="D685" s="18"/>
      <c r="E685" s="19"/>
      <c r="F685" s="19"/>
    </row>
    <row r="686">
      <c r="B686" s="26"/>
      <c r="D686" s="18"/>
      <c r="E686" s="19"/>
      <c r="F686" s="19"/>
    </row>
    <row r="687">
      <c r="B687" s="26"/>
      <c r="D687" s="18"/>
      <c r="E687" s="19"/>
      <c r="F687" s="19"/>
    </row>
    <row r="688">
      <c r="B688" s="26"/>
      <c r="D688" s="18"/>
      <c r="E688" s="19"/>
      <c r="F688" s="19"/>
    </row>
    <row r="689">
      <c r="B689" s="26"/>
      <c r="D689" s="18"/>
      <c r="E689" s="19"/>
      <c r="F689" s="19"/>
    </row>
    <row r="690">
      <c r="B690" s="26"/>
      <c r="D690" s="18"/>
      <c r="E690" s="19"/>
      <c r="F690" s="19"/>
    </row>
    <row r="691">
      <c r="B691" s="26"/>
      <c r="D691" s="18"/>
      <c r="E691" s="19"/>
      <c r="F691" s="19"/>
    </row>
    <row r="692">
      <c r="B692" s="26"/>
      <c r="D692" s="18"/>
      <c r="E692" s="19"/>
      <c r="F692" s="19"/>
    </row>
    <row r="693">
      <c r="B693" s="26"/>
      <c r="D693" s="18"/>
      <c r="E693" s="19"/>
      <c r="F693" s="19"/>
    </row>
    <row r="694">
      <c r="B694" s="26"/>
      <c r="D694" s="18"/>
      <c r="E694" s="19"/>
      <c r="F694" s="19"/>
    </row>
    <row r="695">
      <c r="B695" s="26"/>
      <c r="D695" s="18"/>
      <c r="E695" s="19"/>
      <c r="F695" s="19"/>
    </row>
    <row r="696">
      <c r="B696" s="26"/>
      <c r="D696" s="18"/>
      <c r="E696" s="19"/>
      <c r="F696" s="19"/>
    </row>
    <row r="697">
      <c r="B697" s="26"/>
      <c r="D697" s="18"/>
      <c r="E697" s="19"/>
      <c r="F697" s="19"/>
    </row>
    <row r="698">
      <c r="B698" s="26"/>
      <c r="D698" s="18"/>
      <c r="E698" s="19"/>
      <c r="F698" s="19"/>
    </row>
    <row r="699">
      <c r="B699" s="26"/>
      <c r="D699" s="18"/>
      <c r="E699" s="19"/>
      <c r="F699" s="19"/>
    </row>
    <row r="700">
      <c r="B700" s="26"/>
      <c r="D700" s="18"/>
      <c r="E700" s="19"/>
      <c r="F700" s="19"/>
    </row>
    <row r="701">
      <c r="B701" s="26"/>
      <c r="D701" s="18"/>
      <c r="E701" s="19"/>
      <c r="F701" s="19"/>
    </row>
    <row r="702">
      <c r="B702" s="26"/>
      <c r="D702" s="18"/>
      <c r="E702" s="19"/>
      <c r="F702" s="19"/>
    </row>
    <row r="703">
      <c r="B703" s="26"/>
      <c r="D703" s="18"/>
      <c r="E703" s="19"/>
      <c r="F703" s="19"/>
    </row>
    <row r="704">
      <c r="B704" s="26"/>
      <c r="D704" s="18"/>
      <c r="E704" s="19"/>
      <c r="F704" s="19"/>
    </row>
    <row r="705">
      <c r="B705" s="26"/>
      <c r="D705" s="18"/>
      <c r="E705" s="19"/>
      <c r="F705" s="19"/>
    </row>
    <row r="706">
      <c r="B706" s="26"/>
      <c r="D706" s="18"/>
      <c r="E706" s="19"/>
      <c r="F706" s="19"/>
    </row>
    <row r="707">
      <c r="B707" s="26"/>
      <c r="D707" s="18"/>
      <c r="E707" s="19"/>
      <c r="F707" s="19"/>
    </row>
    <row r="708">
      <c r="B708" s="26"/>
      <c r="D708" s="18"/>
      <c r="E708" s="19"/>
      <c r="F708" s="19"/>
    </row>
    <row r="709">
      <c r="B709" s="26"/>
      <c r="D709" s="18"/>
      <c r="E709" s="19"/>
      <c r="F709" s="19"/>
    </row>
    <row r="710">
      <c r="B710" s="26"/>
      <c r="D710" s="18"/>
      <c r="E710" s="19"/>
      <c r="F710" s="19"/>
    </row>
    <row r="711">
      <c r="B711" s="26"/>
      <c r="D711" s="18"/>
      <c r="E711" s="19"/>
      <c r="F711" s="19"/>
    </row>
    <row r="712">
      <c r="B712" s="26"/>
      <c r="D712" s="18"/>
      <c r="E712" s="19"/>
      <c r="F712" s="19"/>
    </row>
    <row r="713">
      <c r="B713" s="26"/>
      <c r="D713" s="18"/>
      <c r="E713" s="19"/>
      <c r="F713" s="19"/>
    </row>
    <row r="714">
      <c r="B714" s="26"/>
      <c r="D714" s="18"/>
      <c r="E714" s="19"/>
      <c r="F714" s="19"/>
    </row>
    <row r="715">
      <c r="B715" s="26"/>
      <c r="D715" s="18"/>
      <c r="E715" s="19"/>
      <c r="F715" s="19"/>
    </row>
    <row r="716">
      <c r="B716" s="26"/>
      <c r="D716" s="18"/>
      <c r="E716" s="19"/>
      <c r="F716" s="19"/>
    </row>
    <row r="717">
      <c r="B717" s="26"/>
      <c r="D717" s="18"/>
      <c r="E717" s="19"/>
      <c r="F717" s="19"/>
    </row>
    <row r="718">
      <c r="B718" s="26"/>
      <c r="D718" s="18"/>
      <c r="E718" s="19"/>
      <c r="F718" s="19"/>
    </row>
    <row r="719">
      <c r="B719" s="26"/>
      <c r="D719" s="18"/>
      <c r="E719" s="19"/>
      <c r="F719" s="19"/>
    </row>
    <row r="720">
      <c r="B720" s="26"/>
      <c r="D720" s="18"/>
      <c r="E720" s="19"/>
      <c r="F720" s="19"/>
    </row>
    <row r="721">
      <c r="B721" s="26"/>
      <c r="D721" s="18"/>
      <c r="E721" s="19"/>
      <c r="F721" s="19"/>
    </row>
    <row r="722">
      <c r="B722" s="26"/>
      <c r="D722" s="18"/>
      <c r="E722" s="19"/>
      <c r="F722" s="19"/>
    </row>
    <row r="723">
      <c r="B723" s="26"/>
      <c r="D723" s="18"/>
      <c r="E723" s="19"/>
      <c r="F723" s="19"/>
    </row>
    <row r="724">
      <c r="B724" s="26"/>
      <c r="D724" s="18"/>
      <c r="E724" s="19"/>
      <c r="F724" s="19"/>
    </row>
    <row r="725">
      <c r="B725" s="26"/>
      <c r="D725" s="18"/>
      <c r="E725" s="19"/>
      <c r="F725" s="19"/>
    </row>
    <row r="726">
      <c r="B726" s="26"/>
      <c r="D726" s="18"/>
      <c r="E726" s="19"/>
      <c r="F726" s="19"/>
    </row>
    <row r="727">
      <c r="B727" s="26"/>
      <c r="D727" s="18"/>
      <c r="E727" s="19"/>
      <c r="F727" s="19"/>
    </row>
    <row r="728">
      <c r="B728" s="26"/>
      <c r="D728" s="18"/>
      <c r="E728" s="19"/>
      <c r="F728" s="19"/>
    </row>
    <row r="729">
      <c r="B729" s="26"/>
      <c r="D729" s="18"/>
      <c r="E729" s="19"/>
      <c r="F729" s="19"/>
    </row>
    <row r="730">
      <c r="B730" s="26"/>
      <c r="D730" s="18"/>
      <c r="E730" s="19"/>
      <c r="F730" s="19"/>
    </row>
    <row r="731">
      <c r="B731" s="26"/>
      <c r="D731" s="18"/>
      <c r="E731" s="19"/>
      <c r="F731" s="19"/>
    </row>
    <row r="732">
      <c r="B732" s="26"/>
      <c r="D732" s="18"/>
      <c r="E732" s="19"/>
      <c r="F732" s="19"/>
    </row>
    <row r="733">
      <c r="B733" s="26"/>
      <c r="D733" s="18"/>
      <c r="E733" s="19"/>
      <c r="F733" s="19"/>
    </row>
    <row r="734">
      <c r="B734" s="26"/>
      <c r="D734" s="18"/>
      <c r="E734" s="19"/>
      <c r="F734" s="19"/>
    </row>
    <row r="735">
      <c r="B735" s="26"/>
      <c r="D735" s="18"/>
      <c r="E735" s="19"/>
      <c r="F735" s="19"/>
    </row>
    <row r="736">
      <c r="B736" s="26"/>
      <c r="D736" s="18"/>
      <c r="E736" s="19"/>
      <c r="F736" s="19"/>
    </row>
    <row r="737">
      <c r="B737" s="26"/>
      <c r="D737" s="18"/>
      <c r="E737" s="19"/>
      <c r="F737" s="19"/>
    </row>
    <row r="738">
      <c r="B738" s="26"/>
      <c r="D738" s="18"/>
      <c r="E738" s="19"/>
      <c r="F738" s="19"/>
    </row>
    <row r="739">
      <c r="B739" s="26"/>
      <c r="D739" s="18"/>
      <c r="E739" s="19"/>
      <c r="F739" s="19"/>
    </row>
    <row r="740">
      <c r="B740" s="26"/>
      <c r="D740" s="18"/>
      <c r="E740" s="19"/>
      <c r="F740" s="19"/>
    </row>
    <row r="741">
      <c r="B741" s="26"/>
      <c r="D741" s="18"/>
      <c r="E741" s="19"/>
      <c r="F741" s="19"/>
    </row>
    <row r="742">
      <c r="B742" s="26"/>
      <c r="D742" s="18"/>
      <c r="E742" s="19"/>
      <c r="F742" s="19"/>
    </row>
    <row r="743">
      <c r="B743" s="26"/>
      <c r="D743" s="18"/>
      <c r="E743" s="19"/>
      <c r="F743" s="19"/>
    </row>
    <row r="744">
      <c r="B744" s="26"/>
      <c r="D744" s="18"/>
      <c r="E744" s="19"/>
      <c r="F744" s="19"/>
    </row>
    <row r="745">
      <c r="B745" s="26"/>
      <c r="D745" s="18"/>
      <c r="E745" s="19"/>
      <c r="F745" s="19"/>
    </row>
    <row r="746">
      <c r="B746" s="26"/>
      <c r="D746" s="18"/>
      <c r="E746" s="19"/>
      <c r="F746" s="19"/>
    </row>
    <row r="747">
      <c r="B747" s="26"/>
      <c r="D747" s="18"/>
      <c r="E747" s="19"/>
      <c r="F747" s="19"/>
    </row>
    <row r="748">
      <c r="B748" s="26"/>
      <c r="D748" s="18"/>
      <c r="E748" s="19"/>
      <c r="F748" s="19"/>
    </row>
    <row r="749">
      <c r="B749" s="26"/>
      <c r="D749" s="18"/>
      <c r="E749" s="19"/>
      <c r="F749" s="19"/>
    </row>
    <row r="750">
      <c r="B750" s="26"/>
      <c r="D750" s="18"/>
      <c r="E750" s="19"/>
      <c r="F750" s="19"/>
    </row>
    <row r="751">
      <c r="B751" s="26"/>
      <c r="D751" s="18"/>
      <c r="E751" s="19"/>
      <c r="F751" s="19"/>
    </row>
    <row r="752">
      <c r="B752" s="26"/>
      <c r="D752" s="18"/>
      <c r="E752" s="19"/>
      <c r="F752" s="19"/>
    </row>
    <row r="753">
      <c r="B753" s="26"/>
      <c r="D753" s="18"/>
      <c r="E753" s="19"/>
      <c r="F753" s="19"/>
    </row>
    <row r="754">
      <c r="B754" s="26"/>
      <c r="D754" s="18"/>
      <c r="E754" s="19"/>
      <c r="F754" s="19"/>
    </row>
    <row r="755">
      <c r="B755" s="26"/>
      <c r="D755" s="18"/>
      <c r="E755" s="19"/>
      <c r="F755" s="19"/>
    </row>
    <row r="756">
      <c r="B756" s="26"/>
      <c r="D756" s="18"/>
      <c r="E756" s="19"/>
      <c r="F756" s="19"/>
    </row>
    <row r="757">
      <c r="B757" s="26"/>
      <c r="D757" s="18"/>
      <c r="E757" s="19"/>
      <c r="F757" s="19"/>
    </row>
    <row r="758">
      <c r="B758" s="26"/>
      <c r="D758" s="18"/>
      <c r="E758" s="19"/>
      <c r="F758" s="19"/>
    </row>
    <row r="759">
      <c r="B759" s="26"/>
      <c r="D759" s="18"/>
      <c r="E759" s="19"/>
      <c r="F759" s="19"/>
    </row>
    <row r="760">
      <c r="B760" s="26"/>
      <c r="D760" s="18"/>
      <c r="E760" s="19"/>
      <c r="F760" s="19"/>
    </row>
    <row r="761">
      <c r="B761" s="26"/>
      <c r="D761" s="18"/>
      <c r="E761" s="19"/>
      <c r="F761" s="19"/>
    </row>
    <row r="762">
      <c r="B762" s="26"/>
      <c r="D762" s="18"/>
      <c r="E762" s="19"/>
      <c r="F762" s="19"/>
    </row>
    <row r="763">
      <c r="B763" s="26"/>
      <c r="D763" s="18"/>
      <c r="E763" s="19"/>
      <c r="F763" s="19"/>
    </row>
    <row r="764">
      <c r="B764" s="26"/>
      <c r="D764" s="18"/>
      <c r="E764" s="19"/>
      <c r="F764" s="19"/>
    </row>
    <row r="765">
      <c r="B765" s="26"/>
      <c r="D765" s="18"/>
      <c r="E765" s="19"/>
      <c r="F765" s="19"/>
    </row>
    <row r="766">
      <c r="B766" s="26"/>
      <c r="D766" s="18"/>
      <c r="E766" s="19"/>
      <c r="F766" s="19"/>
    </row>
    <row r="767">
      <c r="B767" s="26"/>
      <c r="D767" s="18"/>
      <c r="E767" s="19"/>
      <c r="F767" s="19"/>
    </row>
    <row r="768">
      <c r="B768" s="26"/>
      <c r="D768" s="18"/>
      <c r="E768" s="19"/>
      <c r="F768" s="19"/>
    </row>
    <row r="769">
      <c r="B769" s="26"/>
      <c r="D769" s="18"/>
      <c r="E769" s="19"/>
      <c r="F769" s="19"/>
    </row>
    <row r="770">
      <c r="B770" s="26"/>
      <c r="D770" s="18"/>
      <c r="E770" s="19"/>
      <c r="F770" s="19"/>
    </row>
    <row r="771">
      <c r="B771" s="26"/>
      <c r="D771" s="18"/>
      <c r="E771" s="19"/>
      <c r="F771" s="19"/>
    </row>
    <row r="772">
      <c r="B772" s="26"/>
      <c r="D772" s="18"/>
      <c r="E772" s="19"/>
      <c r="F772" s="19"/>
    </row>
    <row r="773">
      <c r="B773" s="26"/>
      <c r="D773" s="18"/>
      <c r="E773" s="19"/>
      <c r="F773" s="19"/>
    </row>
    <row r="774">
      <c r="B774" s="26"/>
      <c r="D774" s="18"/>
      <c r="E774" s="19"/>
      <c r="F774" s="19"/>
    </row>
    <row r="775">
      <c r="B775" s="26"/>
      <c r="D775" s="18"/>
      <c r="E775" s="19"/>
      <c r="F775" s="19"/>
    </row>
    <row r="776">
      <c r="B776" s="26"/>
      <c r="D776" s="18"/>
      <c r="E776" s="19"/>
      <c r="F776" s="19"/>
    </row>
    <row r="777">
      <c r="B777" s="26"/>
      <c r="D777" s="18"/>
      <c r="E777" s="19"/>
      <c r="F777" s="19"/>
    </row>
    <row r="778">
      <c r="B778" s="26"/>
      <c r="D778" s="18"/>
      <c r="E778" s="19"/>
      <c r="F778" s="19"/>
    </row>
    <row r="779">
      <c r="B779" s="26"/>
      <c r="D779" s="18"/>
      <c r="E779" s="19"/>
      <c r="F779" s="19"/>
    </row>
    <row r="780">
      <c r="B780" s="26"/>
      <c r="D780" s="18"/>
      <c r="E780" s="19"/>
      <c r="F780" s="19"/>
    </row>
    <row r="781">
      <c r="B781" s="26"/>
      <c r="D781" s="18"/>
      <c r="E781" s="19"/>
      <c r="F781" s="19"/>
    </row>
    <row r="782">
      <c r="B782" s="26"/>
      <c r="D782" s="18"/>
      <c r="E782" s="19"/>
      <c r="F782" s="19"/>
    </row>
    <row r="783">
      <c r="B783" s="26"/>
      <c r="D783" s="18"/>
      <c r="E783" s="19"/>
      <c r="F783" s="19"/>
    </row>
    <row r="784">
      <c r="B784" s="26"/>
      <c r="D784" s="18"/>
      <c r="E784" s="19"/>
      <c r="F784" s="19"/>
    </row>
    <row r="785">
      <c r="B785" s="26"/>
      <c r="D785" s="18"/>
      <c r="E785" s="19"/>
      <c r="F785" s="19"/>
    </row>
    <row r="786">
      <c r="B786" s="26"/>
      <c r="D786" s="18"/>
      <c r="E786" s="19"/>
      <c r="F786" s="19"/>
    </row>
    <row r="787">
      <c r="B787" s="26"/>
      <c r="D787" s="18"/>
      <c r="E787" s="19"/>
      <c r="F787" s="19"/>
    </row>
    <row r="788">
      <c r="B788" s="26"/>
      <c r="D788" s="18"/>
      <c r="E788" s="19"/>
      <c r="F788" s="19"/>
    </row>
    <row r="789">
      <c r="B789" s="26"/>
      <c r="D789" s="18"/>
      <c r="E789" s="19"/>
      <c r="F789" s="19"/>
    </row>
    <row r="790">
      <c r="B790" s="26"/>
      <c r="D790" s="18"/>
      <c r="E790" s="19"/>
      <c r="F790" s="19"/>
    </row>
    <row r="791">
      <c r="B791" s="26"/>
      <c r="D791" s="18"/>
      <c r="E791" s="19"/>
      <c r="F791" s="19"/>
    </row>
    <row r="792">
      <c r="B792" s="26"/>
      <c r="D792" s="18"/>
      <c r="E792" s="19"/>
      <c r="F792" s="19"/>
    </row>
    <row r="793">
      <c r="B793" s="26"/>
      <c r="D793" s="18"/>
      <c r="E793" s="19"/>
      <c r="F793" s="19"/>
    </row>
    <row r="794">
      <c r="B794" s="26"/>
      <c r="D794" s="18"/>
      <c r="E794" s="19"/>
      <c r="F794" s="19"/>
    </row>
    <row r="795">
      <c r="B795" s="26"/>
      <c r="D795" s="18"/>
      <c r="E795" s="19"/>
      <c r="F795" s="19"/>
    </row>
    <row r="796">
      <c r="B796" s="26"/>
      <c r="D796" s="18"/>
      <c r="E796" s="19"/>
      <c r="F796" s="19"/>
    </row>
    <row r="797">
      <c r="B797" s="26"/>
      <c r="D797" s="18"/>
      <c r="E797" s="19"/>
      <c r="F797" s="19"/>
    </row>
    <row r="798">
      <c r="B798" s="26"/>
      <c r="D798" s="18"/>
      <c r="E798" s="19"/>
      <c r="F798" s="19"/>
    </row>
    <row r="799">
      <c r="B799" s="26"/>
      <c r="D799" s="18"/>
      <c r="E799" s="19"/>
      <c r="F799" s="19"/>
    </row>
    <row r="800">
      <c r="B800" s="26"/>
      <c r="D800" s="18"/>
      <c r="E800" s="19"/>
      <c r="F800" s="19"/>
    </row>
    <row r="801">
      <c r="B801" s="26"/>
      <c r="D801" s="18"/>
      <c r="E801" s="19"/>
      <c r="F801" s="19"/>
    </row>
    <row r="802">
      <c r="B802" s="26"/>
      <c r="D802" s="18"/>
      <c r="E802" s="19"/>
      <c r="F802" s="19"/>
    </row>
    <row r="803">
      <c r="B803" s="26"/>
      <c r="D803" s="18"/>
      <c r="E803" s="19"/>
      <c r="F803" s="19"/>
    </row>
    <row r="804">
      <c r="B804" s="26"/>
      <c r="D804" s="18"/>
      <c r="E804" s="19"/>
      <c r="F804" s="19"/>
    </row>
    <row r="805">
      <c r="B805" s="26"/>
      <c r="D805" s="18"/>
      <c r="E805" s="19"/>
      <c r="F805" s="19"/>
    </row>
    <row r="806">
      <c r="B806" s="26"/>
      <c r="D806" s="18"/>
      <c r="E806" s="19"/>
      <c r="F806" s="19"/>
    </row>
    <row r="807">
      <c r="B807" s="26"/>
      <c r="D807" s="18"/>
      <c r="E807" s="19"/>
      <c r="F807" s="19"/>
    </row>
    <row r="808">
      <c r="B808" s="26"/>
      <c r="D808" s="18"/>
      <c r="E808" s="19"/>
      <c r="F808" s="19"/>
    </row>
    <row r="809">
      <c r="B809" s="26"/>
      <c r="D809" s="18"/>
      <c r="E809" s="19"/>
      <c r="F809" s="19"/>
    </row>
    <row r="810">
      <c r="B810" s="26"/>
      <c r="D810" s="18"/>
      <c r="E810" s="19"/>
      <c r="F810" s="19"/>
    </row>
    <row r="811">
      <c r="B811" s="26"/>
      <c r="D811" s="18"/>
      <c r="E811" s="19"/>
      <c r="F811" s="19"/>
    </row>
    <row r="812">
      <c r="B812" s="26"/>
      <c r="D812" s="18"/>
      <c r="E812" s="19"/>
      <c r="F812" s="19"/>
    </row>
    <row r="813">
      <c r="B813" s="26"/>
      <c r="D813" s="18"/>
      <c r="E813" s="19"/>
      <c r="F813" s="19"/>
    </row>
    <row r="814">
      <c r="B814" s="26"/>
      <c r="D814" s="18"/>
      <c r="E814" s="19"/>
      <c r="F814" s="19"/>
    </row>
    <row r="815">
      <c r="B815" s="26"/>
      <c r="D815" s="18"/>
      <c r="E815" s="19"/>
      <c r="F815" s="19"/>
    </row>
    <row r="816">
      <c r="B816" s="26"/>
      <c r="D816" s="18"/>
      <c r="E816" s="19"/>
      <c r="F816" s="19"/>
    </row>
    <row r="817">
      <c r="B817" s="26"/>
      <c r="D817" s="18"/>
      <c r="E817" s="19"/>
      <c r="F817" s="19"/>
    </row>
    <row r="818">
      <c r="B818" s="26"/>
      <c r="D818" s="18"/>
      <c r="E818" s="19"/>
      <c r="F818" s="19"/>
    </row>
    <row r="819">
      <c r="B819" s="26"/>
      <c r="D819" s="18"/>
      <c r="E819" s="19"/>
      <c r="F819" s="19"/>
    </row>
    <row r="820">
      <c r="B820" s="26"/>
      <c r="D820" s="18"/>
      <c r="E820" s="19"/>
      <c r="F820" s="19"/>
    </row>
    <row r="821">
      <c r="B821" s="26"/>
      <c r="D821" s="18"/>
      <c r="E821" s="19"/>
      <c r="F821" s="19"/>
    </row>
    <row r="822">
      <c r="B822" s="26"/>
      <c r="D822" s="18"/>
      <c r="E822" s="19"/>
      <c r="F822" s="19"/>
    </row>
    <row r="823">
      <c r="B823" s="26"/>
      <c r="D823" s="18"/>
      <c r="E823" s="19"/>
      <c r="F823" s="19"/>
    </row>
    <row r="824">
      <c r="B824" s="26"/>
      <c r="D824" s="18"/>
      <c r="E824" s="19"/>
      <c r="F824" s="19"/>
    </row>
    <row r="825">
      <c r="B825" s="26"/>
      <c r="D825" s="18"/>
      <c r="E825" s="19"/>
      <c r="F825" s="19"/>
    </row>
    <row r="826">
      <c r="B826" s="26"/>
      <c r="D826" s="18"/>
      <c r="E826" s="19"/>
      <c r="F826" s="19"/>
    </row>
    <row r="827">
      <c r="B827" s="26"/>
      <c r="D827" s="18"/>
      <c r="E827" s="19"/>
      <c r="F827" s="19"/>
    </row>
    <row r="828">
      <c r="B828" s="26"/>
      <c r="D828" s="18"/>
      <c r="E828" s="19"/>
      <c r="F828" s="19"/>
    </row>
    <row r="829">
      <c r="B829" s="26"/>
      <c r="D829" s="18"/>
      <c r="E829" s="19"/>
      <c r="F829" s="19"/>
    </row>
    <row r="830">
      <c r="B830" s="26"/>
      <c r="D830" s="18"/>
      <c r="E830" s="19"/>
      <c r="F830" s="19"/>
    </row>
    <row r="831">
      <c r="B831" s="26"/>
      <c r="D831" s="18"/>
      <c r="E831" s="19"/>
      <c r="F831" s="19"/>
    </row>
    <row r="832">
      <c r="B832" s="26"/>
      <c r="D832" s="18"/>
      <c r="E832" s="19"/>
      <c r="F832" s="19"/>
    </row>
    <row r="833">
      <c r="B833" s="26"/>
      <c r="D833" s="18"/>
      <c r="E833" s="19"/>
      <c r="F833" s="19"/>
    </row>
    <row r="834">
      <c r="B834" s="26"/>
      <c r="D834" s="18"/>
      <c r="E834" s="19"/>
      <c r="F834" s="19"/>
    </row>
    <row r="835">
      <c r="B835" s="26"/>
      <c r="D835" s="18"/>
      <c r="E835" s="19"/>
      <c r="F835" s="19"/>
    </row>
    <row r="836">
      <c r="B836" s="26"/>
      <c r="D836" s="18"/>
      <c r="E836" s="19"/>
      <c r="F836" s="19"/>
    </row>
    <row r="837">
      <c r="B837" s="26"/>
      <c r="D837" s="18"/>
      <c r="E837" s="19"/>
      <c r="F837" s="19"/>
    </row>
    <row r="838">
      <c r="B838" s="26"/>
      <c r="D838" s="18"/>
      <c r="E838" s="19"/>
      <c r="F838" s="19"/>
    </row>
    <row r="839">
      <c r="B839" s="26"/>
      <c r="D839" s="18"/>
      <c r="E839" s="19"/>
      <c r="F839" s="19"/>
    </row>
    <row r="840">
      <c r="B840" s="26"/>
      <c r="D840" s="18"/>
      <c r="E840" s="19"/>
      <c r="F840" s="19"/>
    </row>
    <row r="841">
      <c r="B841" s="26"/>
      <c r="D841" s="18"/>
      <c r="E841" s="19"/>
      <c r="F841" s="19"/>
    </row>
    <row r="842">
      <c r="B842" s="26"/>
      <c r="D842" s="18"/>
      <c r="E842" s="19"/>
      <c r="F842" s="19"/>
    </row>
    <row r="843">
      <c r="B843" s="26"/>
      <c r="D843" s="18"/>
      <c r="E843" s="19"/>
      <c r="F843" s="19"/>
    </row>
    <row r="844">
      <c r="B844" s="26"/>
      <c r="D844" s="18"/>
      <c r="E844" s="19"/>
      <c r="F844" s="19"/>
    </row>
    <row r="845">
      <c r="B845" s="26"/>
      <c r="D845" s="18"/>
      <c r="E845" s="19"/>
      <c r="F845" s="19"/>
    </row>
    <row r="846">
      <c r="B846" s="26"/>
      <c r="D846" s="18"/>
      <c r="E846" s="19"/>
      <c r="F846" s="19"/>
    </row>
    <row r="847">
      <c r="B847" s="26"/>
      <c r="D847" s="18"/>
      <c r="E847" s="19"/>
      <c r="F847" s="19"/>
    </row>
    <row r="848">
      <c r="B848" s="26"/>
      <c r="D848" s="18"/>
      <c r="E848" s="19"/>
      <c r="F848" s="19"/>
    </row>
    <row r="849">
      <c r="B849" s="26"/>
      <c r="D849" s="18"/>
      <c r="E849" s="19"/>
      <c r="F849" s="19"/>
    </row>
    <row r="850">
      <c r="B850" s="26"/>
      <c r="D850" s="18"/>
      <c r="E850" s="19"/>
      <c r="F850" s="19"/>
    </row>
    <row r="851">
      <c r="B851" s="26"/>
      <c r="D851" s="18"/>
      <c r="E851" s="19"/>
      <c r="F851" s="19"/>
    </row>
    <row r="852">
      <c r="B852" s="26"/>
      <c r="D852" s="18"/>
      <c r="E852" s="19"/>
      <c r="F852" s="19"/>
    </row>
    <row r="853">
      <c r="B853" s="26"/>
      <c r="D853" s="18"/>
      <c r="E853" s="19"/>
      <c r="F853" s="19"/>
    </row>
    <row r="854">
      <c r="B854" s="26"/>
      <c r="D854" s="18"/>
      <c r="E854" s="19"/>
      <c r="F854" s="19"/>
    </row>
    <row r="855">
      <c r="B855" s="26"/>
      <c r="D855" s="18"/>
      <c r="E855" s="19"/>
      <c r="F855" s="19"/>
    </row>
    <row r="856">
      <c r="B856" s="26"/>
      <c r="D856" s="18"/>
      <c r="E856" s="19"/>
      <c r="F856" s="19"/>
    </row>
    <row r="857">
      <c r="B857" s="26"/>
      <c r="D857" s="18"/>
      <c r="E857" s="19"/>
      <c r="F857" s="19"/>
    </row>
    <row r="858">
      <c r="B858" s="26"/>
      <c r="D858" s="18"/>
      <c r="E858" s="19"/>
      <c r="F858" s="19"/>
    </row>
    <row r="859">
      <c r="B859" s="26"/>
      <c r="D859" s="18"/>
      <c r="E859" s="19"/>
      <c r="F859" s="19"/>
    </row>
    <row r="860">
      <c r="B860" s="26"/>
      <c r="D860" s="18"/>
      <c r="E860" s="19"/>
      <c r="F860" s="19"/>
    </row>
    <row r="861">
      <c r="B861" s="26"/>
      <c r="D861" s="18"/>
      <c r="E861" s="19"/>
      <c r="F861" s="19"/>
    </row>
    <row r="862">
      <c r="B862" s="26"/>
      <c r="D862" s="18"/>
      <c r="E862" s="19"/>
      <c r="F862" s="19"/>
    </row>
    <row r="863">
      <c r="B863" s="26"/>
      <c r="D863" s="18"/>
      <c r="E863" s="19"/>
      <c r="F863" s="19"/>
    </row>
    <row r="864">
      <c r="B864" s="26"/>
      <c r="D864" s="18"/>
      <c r="E864" s="19"/>
      <c r="F864" s="19"/>
    </row>
    <row r="865">
      <c r="B865" s="26"/>
      <c r="D865" s="18"/>
      <c r="E865" s="19"/>
      <c r="F865" s="19"/>
    </row>
    <row r="866">
      <c r="B866" s="26"/>
      <c r="D866" s="18"/>
      <c r="E866" s="19"/>
      <c r="F866" s="19"/>
    </row>
    <row r="867">
      <c r="B867" s="26"/>
      <c r="D867" s="18"/>
      <c r="E867" s="19"/>
      <c r="F867" s="19"/>
    </row>
    <row r="868">
      <c r="B868" s="26"/>
      <c r="D868" s="18"/>
      <c r="E868" s="19"/>
      <c r="F868" s="19"/>
    </row>
    <row r="869">
      <c r="B869" s="26"/>
      <c r="D869" s="18"/>
      <c r="E869" s="19"/>
      <c r="F869" s="19"/>
    </row>
    <row r="870">
      <c r="B870" s="26"/>
      <c r="D870" s="18"/>
      <c r="E870" s="19"/>
      <c r="F870" s="19"/>
    </row>
    <row r="871">
      <c r="B871" s="26"/>
      <c r="D871" s="18"/>
      <c r="E871" s="19"/>
      <c r="F871" s="19"/>
    </row>
    <row r="872">
      <c r="B872" s="26"/>
      <c r="D872" s="18"/>
      <c r="E872" s="19"/>
      <c r="F872" s="19"/>
    </row>
    <row r="873">
      <c r="B873" s="26"/>
      <c r="D873" s="18"/>
      <c r="E873" s="19"/>
      <c r="F873" s="19"/>
    </row>
    <row r="874">
      <c r="B874" s="26"/>
      <c r="D874" s="18"/>
      <c r="E874" s="19"/>
      <c r="F874" s="19"/>
    </row>
    <row r="875">
      <c r="B875" s="26"/>
      <c r="D875" s="18"/>
      <c r="E875" s="19"/>
      <c r="F875" s="19"/>
    </row>
    <row r="876">
      <c r="B876" s="26"/>
      <c r="D876" s="18"/>
      <c r="E876" s="19"/>
      <c r="F876" s="19"/>
    </row>
    <row r="877">
      <c r="B877" s="26"/>
      <c r="D877" s="18"/>
      <c r="E877" s="19"/>
      <c r="F877" s="19"/>
    </row>
    <row r="878">
      <c r="B878" s="26"/>
      <c r="D878" s="18"/>
      <c r="E878" s="19"/>
      <c r="F878" s="19"/>
    </row>
    <row r="879">
      <c r="B879" s="26"/>
      <c r="D879" s="18"/>
      <c r="E879" s="19"/>
      <c r="F879" s="19"/>
    </row>
    <row r="880">
      <c r="B880" s="26"/>
      <c r="D880" s="18"/>
      <c r="E880" s="19"/>
      <c r="F880" s="19"/>
    </row>
    <row r="881">
      <c r="B881" s="26"/>
      <c r="D881" s="18"/>
      <c r="E881" s="19"/>
      <c r="F881" s="19"/>
    </row>
    <row r="882">
      <c r="B882" s="26"/>
      <c r="D882" s="18"/>
      <c r="E882" s="19"/>
      <c r="F882" s="19"/>
    </row>
    <row r="883">
      <c r="B883" s="26"/>
      <c r="D883" s="18"/>
      <c r="E883" s="19"/>
      <c r="F883" s="19"/>
    </row>
    <row r="884">
      <c r="B884" s="26"/>
      <c r="D884" s="18"/>
      <c r="E884" s="19"/>
      <c r="F884" s="19"/>
    </row>
    <row r="885">
      <c r="B885" s="26"/>
      <c r="D885" s="18"/>
      <c r="E885" s="19"/>
      <c r="F885" s="19"/>
    </row>
    <row r="886">
      <c r="B886" s="26"/>
      <c r="D886" s="18"/>
      <c r="E886" s="19"/>
      <c r="F886" s="19"/>
    </row>
    <row r="887">
      <c r="B887" s="26"/>
      <c r="D887" s="18"/>
      <c r="E887" s="19"/>
      <c r="F887" s="19"/>
    </row>
    <row r="888">
      <c r="B888" s="26"/>
      <c r="D888" s="18"/>
      <c r="E888" s="19"/>
      <c r="F888" s="19"/>
    </row>
    <row r="889">
      <c r="B889" s="26"/>
      <c r="D889" s="18"/>
      <c r="E889" s="19"/>
      <c r="F889" s="19"/>
    </row>
    <row r="890">
      <c r="B890" s="26"/>
      <c r="D890" s="18"/>
      <c r="E890" s="19"/>
      <c r="F890" s="19"/>
    </row>
    <row r="891">
      <c r="B891" s="26"/>
      <c r="D891" s="18"/>
      <c r="E891" s="19"/>
      <c r="F891" s="19"/>
    </row>
    <row r="892">
      <c r="B892" s="26"/>
      <c r="D892" s="18"/>
      <c r="E892" s="19"/>
      <c r="F892" s="19"/>
    </row>
    <row r="893">
      <c r="B893" s="26"/>
      <c r="D893" s="18"/>
      <c r="E893" s="19"/>
      <c r="F893" s="19"/>
    </row>
    <row r="894">
      <c r="B894" s="26"/>
      <c r="D894" s="18"/>
      <c r="E894" s="19"/>
      <c r="F894" s="19"/>
    </row>
    <row r="895">
      <c r="B895" s="26"/>
      <c r="D895" s="18"/>
      <c r="E895" s="19"/>
      <c r="F895" s="19"/>
    </row>
    <row r="896">
      <c r="B896" s="26"/>
      <c r="D896" s="18"/>
      <c r="E896" s="19"/>
      <c r="F896" s="19"/>
    </row>
    <row r="897">
      <c r="B897" s="26"/>
      <c r="D897" s="18"/>
      <c r="E897" s="19"/>
      <c r="F897" s="19"/>
    </row>
    <row r="898">
      <c r="B898" s="26"/>
      <c r="D898" s="18"/>
      <c r="E898" s="19"/>
      <c r="F898" s="19"/>
    </row>
    <row r="899">
      <c r="B899" s="26"/>
      <c r="D899" s="18"/>
      <c r="E899" s="19"/>
      <c r="F899" s="19"/>
    </row>
    <row r="900">
      <c r="B900" s="26"/>
      <c r="D900" s="18"/>
      <c r="E900" s="19"/>
      <c r="F900" s="19"/>
    </row>
    <row r="901">
      <c r="B901" s="26"/>
      <c r="D901" s="18"/>
      <c r="E901" s="19"/>
      <c r="F901" s="19"/>
    </row>
    <row r="902">
      <c r="B902" s="26"/>
      <c r="D902" s="18"/>
      <c r="E902" s="19"/>
      <c r="F902" s="19"/>
    </row>
    <row r="903">
      <c r="B903" s="26"/>
      <c r="D903" s="18"/>
      <c r="E903" s="19"/>
      <c r="F903" s="19"/>
    </row>
    <row r="904">
      <c r="B904" s="26"/>
      <c r="D904" s="18"/>
      <c r="E904" s="19"/>
      <c r="F904" s="19"/>
    </row>
    <row r="905">
      <c r="B905" s="26"/>
      <c r="D905" s="18"/>
      <c r="E905" s="19"/>
      <c r="F905" s="19"/>
    </row>
    <row r="906">
      <c r="B906" s="26"/>
      <c r="D906" s="18"/>
      <c r="E906" s="19"/>
      <c r="F906" s="19"/>
    </row>
    <row r="907">
      <c r="B907" s="26"/>
      <c r="D907" s="18"/>
      <c r="E907" s="19"/>
      <c r="F907" s="19"/>
    </row>
    <row r="908">
      <c r="B908" s="26"/>
      <c r="D908" s="18"/>
      <c r="E908" s="19"/>
      <c r="F908" s="19"/>
    </row>
    <row r="909">
      <c r="B909" s="26"/>
      <c r="D909" s="18"/>
      <c r="E909" s="19"/>
      <c r="F909" s="19"/>
    </row>
    <row r="910">
      <c r="B910" s="26"/>
      <c r="D910" s="18"/>
      <c r="E910" s="19"/>
      <c r="F910" s="19"/>
    </row>
    <row r="911">
      <c r="B911" s="26"/>
      <c r="D911" s="18"/>
      <c r="E911" s="19"/>
      <c r="F911" s="19"/>
    </row>
    <row r="912">
      <c r="B912" s="26"/>
      <c r="D912" s="18"/>
      <c r="E912" s="19"/>
      <c r="F912" s="19"/>
    </row>
    <row r="913">
      <c r="B913" s="26"/>
      <c r="D913" s="18"/>
      <c r="E913" s="19"/>
      <c r="F913" s="19"/>
    </row>
    <row r="914">
      <c r="B914" s="26"/>
      <c r="D914" s="18"/>
      <c r="E914" s="19"/>
      <c r="F914" s="19"/>
    </row>
    <row r="915">
      <c r="B915" s="26"/>
      <c r="D915" s="18"/>
      <c r="E915" s="19"/>
      <c r="F915" s="19"/>
    </row>
    <row r="916">
      <c r="B916" s="26"/>
      <c r="D916" s="18"/>
      <c r="E916" s="19"/>
      <c r="F916" s="19"/>
    </row>
    <row r="917">
      <c r="B917" s="26"/>
      <c r="D917" s="18"/>
      <c r="E917" s="19"/>
      <c r="F917" s="19"/>
    </row>
    <row r="918">
      <c r="B918" s="26"/>
      <c r="D918" s="18"/>
      <c r="E918" s="19"/>
      <c r="F918" s="19"/>
    </row>
    <row r="919">
      <c r="B919" s="26"/>
      <c r="D919" s="18"/>
      <c r="E919" s="19"/>
      <c r="F919" s="19"/>
    </row>
    <row r="920">
      <c r="B920" s="26"/>
      <c r="D920" s="18"/>
      <c r="E920" s="19"/>
      <c r="F920" s="19"/>
    </row>
    <row r="921">
      <c r="B921" s="26"/>
      <c r="D921" s="18"/>
      <c r="E921" s="19"/>
      <c r="F921" s="19"/>
    </row>
    <row r="922">
      <c r="B922" s="26"/>
      <c r="D922" s="18"/>
      <c r="E922" s="19"/>
      <c r="F922" s="19"/>
    </row>
    <row r="923">
      <c r="B923" s="26"/>
      <c r="D923" s="18"/>
      <c r="E923" s="19"/>
      <c r="F923" s="19"/>
    </row>
    <row r="924">
      <c r="B924" s="26"/>
      <c r="D924" s="18"/>
      <c r="E924" s="19"/>
      <c r="F924" s="19"/>
    </row>
    <row r="925">
      <c r="B925" s="26"/>
      <c r="D925" s="18"/>
      <c r="E925" s="19"/>
      <c r="F925" s="19"/>
    </row>
    <row r="926">
      <c r="B926" s="26"/>
      <c r="D926" s="18"/>
      <c r="E926" s="19"/>
      <c r="F926" s="19"/>
    </row>
    <row r="927">
      <c r="B927" s="26"/>
      <c r="D927" s="18"/>
      <c r="E927" s="19"/>
      <c r="F927" s="19"/>
    </row>
    <row r="928">
      <c r="B928" s="26"/>
      <c r="D928" s="18"/>
      <c r="E928" s="19"/>
      <c r="F928" s="19"/>
    </row>
    <row r="929">
      <c r="B929" s="26"/>
      <c r="D929" s="18"/>
      <c r="E929" s="19"/>
      <c r="F929" s="19"/>
    </row>
    <row r="930">
      <c r="B930" s="26"/>
      <c r="D930" s="18"/>
      <c r="E930" s="19"/>
      <c r="F930" s="19"/>
    </row>
    <row r="931">
      <c r="B931" s="26"/>
      <c r="D931" s="18"/>
      <c r="E931" s="19"/>
      <c r="F931" s="19"/>
    </row>
    <row r="932">
      <c r="B932" s="26"/>
      <c r="D932" s="18"/>
      <c r="E932" s="19"/>
      <c r="F932" s="19"/>
    </row>
    <row r="933">
      <c r="B933" s="26"/>
      <c r="D933" s="18"/>
      <c r="E933" s="19"/>
      <c r="F933" s="19"/>
    </row>
    <row r="934">
      <c r="B934" s="26"/>
      <c r="D934" s="18"/>
      <c r="E934" s="19"/>
      <c r="F934" s="19"/>
    </row>
    <row r="935">
      <c r="B935" s="26"/>
      <c r="D935" s="18"/>
      <c r="E935" s="19"/>
      <c r="F935" s="19"/>
    </row>
    <row r="936">
      <c r="B936" s="26"/>
      <c r="D936" s="18"/>
      <c r="E936" s="19"/>
      <c r="F936" s="19"/>
    </row>
    <row r="937">
      <c r="B937" s="26"/>
      <c r="D937" s="18"/>
      <c r="E937" s="19"/>
      <c r="F937" s="19"/>
    </row>
    <row r="938">
      <c r="B938" s="26"/>
      <c r="D938" s="18"/>
      <c r="E938" s="19"/>
      <c r="F938" s="19"/>
    </row>
    <row r="939">
      <c r="B939" s="26"/>
      <c r="D939" s="18"/>
      <c r="E939" s="19"/>
      <c r="F939" s="19"/>
    </row>
    <row r="940">
      <c r="B940" s="26"/>
      <c r="D940" s="18"/>
      <c r="E940" s="19"/>
      <c r="F940" s="19"/>
    </row>
    <row r="941">
      <c r="B941" s="26"/>
      <c r="D941" s="18"/>
      <c r="E941" s="19"/>
      <c r="F941" s="19"/>
    </row>
    <row r="942">
      <c r="B942" s="26"/>
      <c r="D942" s="18"/>
      <c r="E942" s="19"/>
      <c r="F942" s="19"/>
    </row>
    <row r="943">
      <c r="B943" s="26"/>
      <c r="D943" s="18"/>
      <c r="E943" s="19"/>
      <c r="F943" s="19"/>
    </row>
    <row r="944">
      <c r="B944" s="26"/>
      <c r="D944" s="18"/>
      <c r="E944" s="19"/>
      <c r="F944" s="19"/>
    </row>
    <row r="945">
      <c r="B945" s="26"/>
      <c r="D945" s="18"/>
      <c r="E945" s="19"/>
      <c r="F945" s="19"/>
    </row>
    <row r="946">
      <c r="B946" s="26"/>
      <c r="D946" s="18"/>
      <c r="E946" s="19"/>
      <c r="F946" s="19"/>
    </row>
    <row r="947">
      <c r="B947" s="26"/>
      <c r="D947" s="18"/>
      <c r="E947" s="19"/>
      <c r="F947" s="19"/>
    </row>
    <row r="948">
      <c r="B948" s="26"/>
      <c r="D948" s="18"/>
      <c r="E948" s="19"/>
      <c r="F948" s="19"/>
    </row>
    <row r="949">
      <c r="B949" s="26"/>
      <c r="D949" s="18"/>
      <c r="E949" s="19"/>
      <c r="F949" s="19"/>
    </row>
    <row r="950">
      <c r="B950" s="26"/>
      <c r="D950" s="18"/>
      <c r="E950" s="19"/>
      <c r="F950" s="19"/>
    </row>
    <row r="951">
      <c r="B951" s="26"/>
      <c r="D951" s="18"/>
      <c r="E951" s="19"/>
      <c r="F951" s="19"/>
    </row>
    <row r="952">
      <c r="B952" s="26"/>
      <c r="D952" s="18"/>
      <c r="E952" s="19"/>
      <c r="F952" s="19"/>
    </row>
    <row r="953">
      <c r="B953" s="26"/>
      <c r="D953" s="18"/>
      <c r="E953" s="19"/>
      <c r="F953" s="19"/>
    </row>
    <row r="954">
      <c r="B954" s="26"/>
      <c r="D954" s="18"/>
      <c r="E954" s="19"/>
      <c r="F954" s="19"/>
    </row>
    <row r="955">
      <c r="B955" s="26"/>
      <c r="D955" s="18"/>
      <c r="E955" s="19"/>
      <c r="F955" s="19"/>
    </row>
    <row r="956">
      <c r="B956" s="26"/>
      <c r="D956" s="18"/>
      <c r="E956" s="19"/>
      <c r="F956" s="19"/>
    </row>
    <row r="957">
      <c r="B957" s="26"/>
      <c r="D957" s="18"/>
      <c r="E957" s="19"/>
      <c r="F957" s="19"/>
    </row>
    <row r="958">
      <c r="B958" s="26"/>
      <c r="D958" s="18"/>
      <c r="E958" s="19"/>
      <c r="F958" s="19"/>
    </row>
    <row r="959">
      <c r="B959" s="26"/>
      <c r="D959" s="18"/>
      <c r="E959" s="19"/>
      <c r="F959" s="19"/>
    </row>
    <row r="960">
      <c r="B960" s="26"/>
      <c r="D960" s="18"/>
      <c r="E960" s="19"/>
      <c r="F960" s="19"/>
    </row>
    <row r="961">
      <c r="B961" s="26"/>
      <c r="D961" s="18"/>
      <c r="E961" s="19"/>
      <c r="F961" s="19"/>
    </row>
    <row r="962">
      <c r="B962" s="26"/>
      <c r="D962" s="18"/>
      <c r="E962" s="19"/>
      <c r="F962" s="19"/>
    </row>
    <row r="963">
      <c r="B963" s="26"/>
      <c r="D963" s="18"/>
      <c r="E963" s="19"/>
      <c r="F963" s="19"/>
    </row>
    <row r="964">
      <c r="B964" s="26"/>
      <c r="D964" s="18"/>
      <c r="E964" s="19"/>
      <c r="F964" s="19"/>
    </row>
    <row r="965">
      <c r="B965" s="26"/>
      <c r="D965" s="18"/>
      <c r="E965" s="19"/>
      <c r="F965" s="19"/>
    </row>
    <row r="966">
      <c r="B966" s="26"/>
      <c r="D966" s="18"/>
      <c r="E966" s="19"/>
      <c r="F966" s="19"/>
    </row>
    <row r="967">
      <c r="B967" s="26"/>
      <c r="D967" s="18"/>
      <c r="E967" s="19"/>
      <c r="F967" s="19"/>
    </row>
    <row r="968">
      <c r="B968" s="26"/>
      <c r="D968" s="18"/>
      <c r="E968" s="19"/>
      <c r="F968" s="19"/>
    </row>
    <row r="969">
      <c r="B969" s="26"/>
      <c r="D969" s="18"/>
      <c r="E969" s="19"/>
      <c r="F969" s="19"/>
    </row>
    <row r="970">
      <c r="B970" s="26"/>
      <c r="D970" s="18"/>
      <c r="E970" s="19"/>
      <c r="F970" s="19"/>
    </row>
    <row r="971">
      <c r="B971" s="26"/>
      <c r="D971" s="18"/>
      <c r="E971" s="19"/>
      <c r="F971" s="19"/>
    </row>
    <row r="972">
      <c r="B972" s="26"/>
      <c r="D972" s="18"/>
      <c r="E972" s="19"/>
      <c r="F972" s="19"/>
    </row>
    <row r="973">
      <c r="B973" s="26"/>
      <c r="D973" s="18"/>
      <c r="E973" s="19"/>
      <c r="F973" s="19"/>
    </row>
    <row r="974">
      <c r="B974" s="26"/>
      <c r="D974" s="18"/>
      <c r="E974" s="19"/>
      <c r="F974" s="19"/>
    </row>
    <row r="975">
      <c r="B975" s="26"/>
      <c r="D975" s="18"/>
      <c r="E975" s="19"/>
      <c r="F975" s="19"/>
    </row>
    <row r="976">
      <c r="B976" s="26"/>
      <c r="D976" s="18"/>
      <c r="E976" s="19"/>
      <c r="F976" s="19"/>
    </row>
    <row r="977">
      <c r="B977" s="26"/>
      <c r="D977" s="18"/>
      <c r="E977" s="19"/>
      <c r="F977" s="19"/>
    </row>
    <row r="978">
      <c r="B978" s="26"/>
      <c r="D978" s="18"/>
      <c r="E978" s="19"/>
      <c r="F978" s="19"/>
    </row>
    <row r="979">
      <c r="B979" s="26"/>
      <c r="D979" s="18"/>
      <c r="E979" s="19"/>
      <c r="F979" s="19"/>
    </row>
    <row r="980">
      <c r="B980" s="26"/>
      <c r="D980" s="18"/>
      <c r="E980" s="19"/>
      <c r="F980" s="19"/>
    </row>
    <row r="981">
      <c r="B981" s="26"/>
      <c r="D981" s="18"/>
      <c r="E981" s="19"/>
      <c r="F981" s="19"/>
    </row>
    <row r="982">
      <c r="B982" s="26"/>
      <c r="D982" s="18"/>
      <c r="E982" s="19"/>
      <c r="F982" s="19"/>
    </row>
    <row r="983">
      <c r="B983" s="26"/>
      <c r="D983" s="18"/>
      <c r="E983" s="19"/>
      <c r="F983" s="19"/>
    </row>
    <row r="984">
      <c r="B984" s="26"/>
      <c r="D984" s="18"/>
      <c r="E984" s="19"/>
      <c r="F984" s="19"/>
    </row>
    <row r="985">
      <c r="B985" s="26"/>
      <c r="D985" s="18"/>
      <c r="E985" s="19"/>
      <c r="F985" s="19"/>
    </row>
    <row r="986">
      <c r="B986" s="26"/>
      <c r="D986" s="18"/>
      <c r="E986" s="19"/>
      <c r="F986" s="19"/>
    </row>
    <row r="987">
      <c r="B987" s="26"/>
      <c r="D987" s="18"/>
      <c r="E987" s="19"/>
      <c r="F987" s="19"/>
    </row>
    <row r="988">
      <c r="B988" s="26"/>
      <c r="D988" s="18"/>
      <c r="E988" s="19"/>
      <c r="F988" s="19"/>
    </row>
    <row r="989">
      <c r="B989" s="26"/>
      <c r="D989" s="18"/>
      <c r="E989" s="19"/>
      <c r="F989" s="19"/>
    </row>
    <row r="990">
      <c r="B990" s="26"/>
      <c r="D990" s="18"/>
      <c r="E990" s="19"/>
      <c r="F990" s="19"/>
    </row>
    <row r="991">
      <c r="B991" s="26"/>
      <c r="D991" s="18"/>
      <c r="E991" s="19"/>
      <c r="F991" s="19"/>
    </row>
    <row r="992">
      <c r="B992" s="26"/>
      <c r="D992" s="18"/>
      <c r="E992" s="19"/>
      <c r="F992" s="19"/>
    </row>
    <row r="993">
      <c r="B993" s="26"/>
      <c r="D993" s="18"/>
      <c r="E993" s="19"/>
      <c r="F993" s="19"/>
    </row>
    <row r="994">
      <c r="B994" s="26"/>
      <c r="D994" s="18"/>
      <c r="E994" s="19"/>
      <c r="F994" s="19"/>
    </row>
    <row r="995">
      <c r="B995" s="26"/>
      <c r="D995" s="18"/>
      <c r="E995" s="19"/>
      <c r="F995" s="19"/>
    </row>
    <row r="996">
      <c r="B996" s="26"/>
      <c r="D996" s="18"/>
      <c r="E996" s="19"/>
      <c r="F996" s="19"/>
    </row>
    <row r="997">
      <c r="B997" s="26"/>
      <c r="D997" s="18"/>
      <c r="E997" s="19"/>
      <c r="F997" s="19"/>
    </row>
    <row r="998">
      <c r="B998" s="26"/>
      <c r="D998" s="18"/>
      <c r="E998" s="19"/>
      <c r="F998" s="19"/>
    </row>
    <row r="999">
      <c r="B999" s="26"/>
      <c r="D999" s="18"/>
      <c r="E999" s="19"/>
      <c r="F999" s="19"/>
    </row>
    <row r="1000">
      <c r="B1000" s="26"/>
      <c r="D1000" s="18"/>
      <c r="E1000" s="19"/>
      <c r="F1000" s="19"/>
    </row>
    <row r="1001">
      <c r="B1001" s="26"/>
      <c r="D1001" s="18"/>
      <c r="E1001" s="19"/>
      <c r="F1001" s="19"/>
    </row>
    <row r="1002">
      <c r="B1002" s="26"/>
      <c r="D1002" s="18"/>
      <c r="E1002" s="19"/>
      <c r="F1002" s="19"/>
    </row>
    <row r="1003">
      <c r="B1003" s="26"/>
      <c r="D1003" s="18"/>
      <c r="E1003" s="19"/>
      <c r="F1003" s="19"/>
    </row>
    <row r="1004">
      <c r="B1004" s="26"/>
      <c r="D1004" s="18"/>
      <c r="E1004" s="19"/>
      <c r="F1004" s="19"/>
    </row>
    <row r="1005">
      <c r="B1005" s="26"/>
      <c r="D1005" s="18"/>
      <c r="E1005" s="19"/>
      <c r="F1005" s="19"/>
    </row>
    <row r="1006">
      <c r="B1006" s="26"/>
      <c r="D1006" s="18"/>
      <c r="E1006" s="19"/>
      <c r="F1006" s="19"/>
    </row>
    <row r="1007">
      <c r="B1007" s="26"/>
      <c r="D1007" s="18"/>
      <c r="E1007" s="19"/>
      <c r="F1007" s="19"/>
    </row>
    <row r="1008">
      <c r="B1008" s="26"/>
      <c r="D1008" s="18"/>
      <c r="E1008" s="19"/>
      <c r="F1008" s="19"/>
    </row>
    <row r="1009">
      <c r="B1009" s="26"/>
      <c r="D1009" s="18"/>
      <c r="E1009" s="19"/>
      <c r="F1009" s="19"/>
    </row>
    <row r="1010">
      <c r="B1010" s="26"/>
      <c r="D1010" s="18"/>
      <c r="E1010" s="19"/>
      <c r="F1010" s="19"/>
    </row>
    <row r="1011">
      <c r="B1011" s="26"/>
      <c r="D1011" s="18"/>
      <c r="E1011" s="19"/>
      <c r="F1011" s="1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17.38"/>
    <col customWidth="1" min="3" max="3" width="28.63"/>
    <col customWidth="1" min="4" max="4" width="18.13"/>
    <col customWidth="1" min="5" max="5" width="7.0"/>
    <col customWidth="1" min="6" max="6" width="6.75"/>
    <col customWidth="1" min="7" max="7" width="126.13"/>
  </cols>
  <sheetData>
    <row r="1" ht="38.25" customHeight="1">
      <c r="A1" s="1">
        <f>SUM(A3:A41)</f>
        <v>680</v>
      </c>
      <c r="B1" s="2" t="s">
        <v>0</v>
      </c>
      <c r="C1" s="1">
        <f>SUM(C9:C48)</f>
        <v>0</v>
      </c>
      <c r="D1" s="3"/>
      <c r="E1" s="4"/>
      <c r="F1" s="4"/>
      <c r="G1" s="5" t="s">
        <v>1</v>
      </c>
    </row>
    <row r="2">
      <c r="A2" s="6" t="s">
        <v>2</v>
      </c>
      <c r="B2" s="7" t="s">
        <v>3</v>
      </c>
      <c r="C2" s="8" t="s">
        <v>4</v>
      </c>
      <c r="D2" s="9" t="s">
        <v>40</v>
      </c>
      <c r="E2" s="8" t="s">
        <v>6</v>
      </c>
      <c r="F2" s="6" t="s">
        <v>7</v>
      </c>
      <c r="G2" s="10" t="s">
        <v>8</v>
      </c>
    </row>
    <row r="3">
      <c r="A3" s="11">
        <f t="shared" ref="A3:A41" si="1">E3*F3</f>
        <v>4</v>
      </c>
      <c r="B3" s="12">
        <v>45659.0</v>
      </c>
      <c r="C3" s="13" t="s">
        <v>41</v>
      </c>
      <c r="D3" s="13" t="s">
        <v>42</v>
      </c>
      <c r="E3" s="14">
        <v>4.0</v>
      </c>
      <c r="F3" s="14">
        <v>1.0</v>
      </c>
      <c r="G3" s="28" t="s">
        <v>43</v>
      </c>
    </row>
    <row r="4">
      <c r="A4" s="11">
        <f t="shared" si="1"/>
        <v>11</v>
      </c>
      <c r="B4" s="12">
        <v>45662.0</v>
      </c>
      <c r="C4" s="13" t="s">
        <v>44</v>
      </c>
      <c r="D4" s="13" t="s">
        <v>45</v>
      </c>
      <c r="E4" s="14">
        <v>11.0</v>
      </c>
      <c r="F4" s="14">
        <v>1.0</v>
      </c>
      <c r="G4" s="13" t="s">
        <v>46</v>
      </c>
    </row>
    <row r="5">
      <c r="A5" s="11">
        <f t="shared" si="1"/>
        <v>6</v>
      </c>
      <c r="B5" s="12">
        <v>45717.0</v>
      </c>
      <c r="C5" s="13" t="s">
        <v>47</v>
      </c>
      <c r="D5" s="13" t="s">
        <v>48</v>
      </c>
      <c r="E5" s="14">
        <v>6.0</v>
      </c>
      <c r="F5" s="14">
        <v>1.0</v>
      </c>
      <c r="G5" s="13" t="s">
        <v>49</v>
      </c>
    </row>
    <row r="6">
      <c r="A6" s="11">
        <f t="shared" si="1"/>
        <v>2</v>
      </c>
      <c r="B6" s="29">
        <v>45751.0</v>
      </c>
      <c r="C6" s="16" t="s">
        <v>22</v>
      </c>
      <c r="D6" s="28" t="s">
        <v>48</v>
      </c>
      <c r="E6" s="30">
        <v>2.0</v>
      </c>
      <c r="F6" s="30">
        <v>1.0</v>
      </c>
      <c r="G6" s="16" t="s">
        <v>50</v>
      </c>
    </row>
    <row r="7">
      <c r="A7" s="11">
        <f t="shared" si="1"/>
        <v>7</v>
      </c>
      <c r="B7" s="12">
        <v>45755.0</v>
      </c>
      <c r="C7" s="13" t="s">
        <v>38</v>
      </c>
      <c r="D7" s="13" t="s">
        <v>51</v>
      </c>
      <c r="E7" s="14">
        <v>7.0</v>
      </c>
      <c r="F7" s="14">
        <v>1.0</v>
      </c>
      <c r="G7" s="13" t="s">
        <v>52</v>
      </c>
    </row>
    <row r="8">
      <c r="A8" s="11">
        <f t="shared" si="1"/>
        <v>4</v>
      </c>
      <c r="B8" s="29">
        <v>45781.0</v>
      </c>
      <c r="C8" s="16" t="s">
        <v>22</v>
      </c>
      <c r="D8" s="28" t="s">
        <v>18</v>
      </c>
      <c r="E8" s="30">
        <v>4.0</v>
      </c>
      <c r="F8" s="30">
        <v>1.0</v>
      </c>
      <c r="G8" s="16" t="s">
        <v>53</v>
      </c>
    </row>
    <row r="9">
      <c r="A9" s="11">
        <f t="shared" si="1"/>
        <v>4</v>
      </c>
      <c r="B9" s="12">
        <v>45842.0</v>
      </c>
      <c r="C9" s="13" t="s">
        <v>41</v>
      </c>
      <c r="D9" s="13" t="s">
        <v>23</v>
      </c>
      <c r="E9" s="14">
        <v>4.0</v>
      </c>
      <c r="F9" s="14">
        <v>1.0</v>
      </c>
      <c r="G9" s="13" t="s">
        <v>54</v>
      </c>
    </row>
    <row r="10">
      <c r="A10" s="11">
        <f t="shared" si="1"/>
        <v>16</v>
      </c>
      <c r="B10" s="12">
        <v>45842.0</v>
      </c>
      <c r="C10" s="13" t="s">
        <v>55</v>
      </c>
      <c r="D10" s="13" t="s">
        <v>56</v>
      </c>
      <c r="E10" s="14">
        <v>4.0</v>
      </c>
      <c r="F10" s="14">
        <v>4.0</v>
      </c>
      <c r="G10" s="13" t="s">
        <v>57</v>
      </c>
    </row>
    <row r="11">
      <c r="A11" s="11">
        <f t="shared" si="1"/>
        <v>6</v>
      </c>
      <c r="B11" s="12">
        <v>45878.0</v>
      </c>
      <c r="C11" s="13" t="s">
        <v>17</v>
      </c>
      <c r="D11" s="13" t="s">
        <v>51</v>
      </c>
      <c r="E11" s="14">
        <v>6.0</v>
      </c>
      <c r="F11" s="14">
        <v>1.0</v>
      </c>
      <c r="G11" s="13" t="s">
        <v>58</v>
      </c>
    </row>
    <row r="12">
      <c r="A12" s="11">
        <f t="shared" si="1"/>
        <v>3</v>
      </c>
      <c r="B12" s="31">
        <v>45934.0</v>
      </c>
      <c r="C12" s="13" t="s">
        <v>41</v>
      </c>
      <c r="D12" s="13" t="s">
        <v>59</v>
      </c>
      <c r="E12" s="14">
        <v>3.0</v>
      </c>
      <c r="F12" s="14">
        <v>1.0</v>
      </c>
      <c r="G12" s="13" t="s">
        <v>60</v>
      </c>
    </row>
    <row r="13">
      <c r="A13" s="11">
        <f t="shared" si="1"/>
        <v>5</v>
      </c>
      <c r="B13" s="12">
        <v>45935.0</v>
      </c>
      <c r="C13" s="13" t="s">
        <v>61</v>
      </c>
      <c r="D13" s="13" t="s">
        <v>48</v>
      </c>
      <c r="E13" s="14">
        <v>5.0</v>
      </c>
      <c r="F13" s="14">
        <v>1.0</v>
      </c>
      <c r="G13" s="13" t="s">
        <v>62</v>
      </c>
    </row>
    <row r="14">
      <c r="A14" s="11">
        <f t="shared" si="1"/>
        <v>5</v>
      </c>
      <c r="B14" s="12">
        <v>45967.0</v>
      </c>
      <c r="C14" s="13" t="s">
        <v>22</v>
      </c>
      <c r="D14" s="13" t="s">
        <v>23</v>
      </c>
      <c r="E14" s="14">
        <v>5.0</v>
      </c>
      <c r="F14" s="14">
        <v>1.0</v>
      </c>
      <c r="G14" s="32" t="s">
        <v>63</v>
      </c>
    </row>
    <row r="15">
      <c r="A15" s="11">
        <f t="shared" si="1"/>
        <v>9</v>
      </c>
      <c r="B15" s="12">
        <v>45992.0</v>
      </c>
      <c r="C15" s="13" t="s">
        <v>10</v>
      </c>
      <c r="D15" s="13" t="s">
        <v>23</v>
      </c>
      <c r="E15" s="14">
        <v>9.0</v>
      </c>
      <c r="F15" s="14">
        <v>1.0</v>
      </c>
      <c r="G15" s="28" t="s">
        <v>64</v>
      </c>
    </row>
    <row r="16">
      <c r="A16" s="11">
        <f t="shared" si="1"/>
        <v>3</v>
      </c>
      <c r="B16" s="12">
        <v>46034.0</v>
      </c>
      <c r="C16" s="13" t="s">
        <v>29</v>
      </c>
      <c r="D16" s="13" t="s">
        <v>65</v>
      </c>
      <c r="E16" s="14">
        <v>3.0</v>
      </c>
      <c r="F16" s="14">
        <v>1.0</v>
      </c>
      <c r="G16" s="13" t="s">
        <v>66</v>
      </c>
    </row>
    <row r="17">
      <c r="A17" s="11">
        <f t="shared" si="1"/>
        <v>99</v>
      </c>
      <c r="B17" s="15" t="s">
        <v>67</v>
      </c>
      <c r="C17" s="13" t="s">
        <v>68</v>
      </c>
      <c r="D17" s="13" t="s">
        <v>69</v>
      </c>
      <c r="E17" s="14">
        <v>11.0</v>
      </c>
      <c r="F17" s="14">
        <v>9.0</v>
      </c>
      <c r="G17" s="13" t="s">
        <v>70</v>
      </c>
    </row>
    <row r="18">
      <c r="A18" s="11">
        <f t="shared" si="1"/>
        <v>2</v>
      </c>
      <c r="B18" s="15" t="s">
        <v>71</v>
      </c>
      <c r="C18" s="13" t="s">
        <v>72</v>
      </c>
      <c r="D18" s="13" t="s">
        <v>23</v>
      </c>
      <c r="E18" s="14">
        <v>2.0</v>
      </c>
      <c r="F18" s="14">
        <v>1.0</v>
      </c>
      <c r="G18" s="13" t="s">
        <v>73</v>
      </c>
    </row>
    <row r="19">
      <c r="A19" s="11">
        <f t="shared" si="1"/>
        <v>2</v>
      </c>
      <c r="B19" s="15" t="s">
        <v>74</v>
      </c>
      <c r="C19" s="13" t="s">
        <v>75</v>
      </c>
      <c r="D19" s="13" t="s">
        <v>23</v>
      </c>
      <c r="E19" s="14">
        <v>2.0</v>
      </c>
      <c r="F19" s="14">
        <v>1.0</v>
      </c>
      <c r="G19" s="13" t="s">
        <v>76</v>
      </c>
    </row>
    <row r="20">
      <c r="A20" s="11">
        <f t="shared" si="1"/>
        <v>7</v>
      </c>
      <c r="B20" s="15" t="s">
        <v>77</v>
      </c>
      <c r="C20" s="13" t="s">
        <v>17</v>
      </c>
      <c r="D20" s="13" t="s">
        <v>78</v>
      </c>
      <c r="E20" s="14">
        <v>7.0</v>
      </c>
      <c r="F20" s="14">
        <v>1.0</v>
      </c>
      <c r="G20" s="13" t="s">
        <v>79</v>
      </c>
    </row>
    <row r="21">
      <c r="A21" s="11">
        <f t="shared" si="1"/>
        <v>3</v>
      </c>
      <c r="B21" s="15" t="s">
        <v>80</v>
      </c>
      <c r="C21" s="13" t="s">
        <v>81</v>
      </c>
      <c r="D21" s="13" t="s">
        <v>23</v>
      </c>
      <c r="E21" s="14">
        <v>3.0</v>
      </c>
      <c r="F21" s="14">
        <v>1.0</v>
      </c>
      <c r="G21" s="13" t="s">
        <v>82</v>
      </c>
    </row>
    <row r="22">
      <c r="A22" s="11">
        <f t="shared" si="1"/>
        <v>6</v>
      </c>
      <c r="B22" s="15" t="s">
        <v>83</v>
      </c>
      <c r="C22" s="13" t="s">
        <v>72</v>
      </c>
      <c r="D22" s="13" t="s">
        <v>23</v>
      </c>
      <c r="E22" s="14">
        <v>6.0</v>
      </c>
      <c r="F22" s="14">
        <v>1.0</v>
      </c>
      <c r="G22" s="13" t="s">
        <v>84</v>
      </c>
    </row>
    <row r="23">
      <c r="A23" s="11">
        <f t="shared" si="1"/>
        <v>3</v>
      </c>
      <c r="B23" s="15" t="s">
        <v>85</v>
      </c>
      <c r="C23" s="13" t="s">
        <v>86</v>
      </c>
      <c r="D23" s="13" t="s">
        <v>87</v>
      </c>
      <c r="E23" s="14">
        <v>3.0</v>
      </c>
      <c r="F23" s="14">
        <v>1.0</v>
      </c>
      <c r="G23" s="13" t="s">
        <v>88</v>
      </c>
    </row>
    <row r="24">
      <c r="A24" s="11">
        <f t="shared" si="1"/>
        <v>6</v>
      </c>
      <c r="B24" s="15" t="s">
        <v>89</v>
      </c>
      <c r="C24" s="13" t="s">
        <v>90</v>
      </c>
      <c r="D24" s="13" t="s">
        <v>91</v>
      </c>
      <c r="E24" s="14">
        <v>6.0</v>
      </c>
      <c r="F24" s="14">
        <v>1.0</v>
      </c>
      <c r="G24" s="13" t="s">
        <v>92</v>
      </c>
    </row>
    <row r="25">
      <c r="A25" s="11">
        <f t="shared" si="1"/>
        <v>6</v>
      </c>
      <c r="B25" s="31" t="s">
        <v>93</v>
      </c>
      <c r="C25" s="13" t="s">
        <v>61</v>
      </c>
      <c r="D25" s="13" t="s">
        <v>23</v>
      </c>
      <c r="E25" s="14">
        <v>6.0</v>
      </c>
      <c r="F25" s="14">
        <v>1.0</v>
      </c>
      <c r="G25" s="13" t="s">
        <v>94</v>
      </c>
    </row>
    <row r="26">
      <c r="A26" s="11">
        <f t="shared" si="1"/>
        <v>3</v>
      </c>
      <c r="B26" s="15" t="s">
        <v>95</v>
      </c>
      <c r="C26" s="16" t="s">
        <v>22</v>
      </c>
      <c r="D26" s="13" t="s">
        <v>18</v>
      </c>
      <c r="E26" s="14">
        <v>3.0</v>
      </c>
      <c r="F26" s="14">
        <v>1.0</v>
      </c>
      <c r="G26" s="13" t="s">
        <v>96</v>
      </c>
    </row>
    <row r="27">
      <c r="A27" s="11">
        <f t="shared" si="1"/>
        <v>2</v>
      </c>
      <c r="B27" s="15" t="s">
        <v>97</v>
      </c>
      <c r="C27" s="13" t="s">
        <v>22</v>
      </c>
      <c r="D27" s="13" t="s">
        <v>23</v>
      </c>
      <c r="E27" s="14">
        <v>2.0</v>
      </c>
      <c r="F27" s="14">
        <v>1.0</v>
      </c>
      <c r="G27" s="13" t="s">
        <v>98</v>
      </c>
    </row>
    <row r="28">
      <c r="A28" s="11">
        <f t="shared" si="1"/>
        <v>7</v>
      </c>
      <c r="B28" s="15" t="s">
        <v>99</v>
      </c>
      <c r="C28" s="13" t="s">
        <v>29</v>
      </c>
      <c r="D28" s="13" t="s">
        <v>87</v>
      </c>
      <c r="E28" s="14">
        <v>7.0</v>
      </c>
      <c r="F28" s="14">
        <v>1.0</v>
      </c>
      <c r="G28" s="13" t="s">
        <v>100</v>
      </c>
    </row>
    <row r="29">
      <c r="A29" s="11">
        <f t="shared" si="1"/>
        <v>5</v>
      </c>
      <c r="B29" s="15" t="s">
        <v>101</v>
      </c>
      <c r="C29" s="13" t="s">
        <v>90</v>
      </c>
      <c r="D29" s="13" t="s">
        <v>56</v>
      </c>
      <c r="E29" s="14">
        <v>5.0</v>
      </c>
      <c r="F29" s="14">
        <v>1.0</v>
      </c>
      <c r="G29" s="13" t="s">
        <v>102</v>
      </c>
    </row>
    <row r="30">
      <c r="A30" s="11">
        <f t="shared" si="1"/>
        <v>5</v>
      </c>
      <c r="B30" s="15" t="s">
        <v>103</v>
      </c>
      <c r="C30" s="13" t="s">
        <v>104</v>
      </c>
      <c r="D30" s="13" t="s">
        <v>78</v>
      </c>
      <c r="E30" s="14">
        <v>5.0</v>
      </c>
      <c r="F30" s="14">
        <v>1.0</v>
      </c>
      <c r="G30" s="13" t="s">
        <v>105</v>
      </c>
    </row>
    <row r="31">
      <c r="A31" s="11">
        <f t="shared" si="1"/>
        <v>4</v>
      </c>
      <c r="B31" s="15" t="s">
        <v>106</v>
      </c>
      <c r="C31" s="13" t="s">
        <v>107</v>
      </c>
      <c r="D31" s="13" t="s">
        <v>108</v>
      </c>
      <c r="E31" s="14">
        <v>4.0</v>
      </c>
      <c r="F31" s="14">
        <v>1.0</v>
      </c>
      <c r="G31" s="28" t="s">
        <v>109</v>
      </c>
    </row>
    <row r="32">
      <c r="A32" s="11">
        <f t="shared" si="1"/>
        <v>2</v>
      </c>
      <c r="B32" s="15" t="s">
        <v>110</v>
      </c>
      <c r="C32" s="13" t="s">
        <v>111</v>
      </c>
      <c r="D32" s="13" t="s">
        <v>65</v>
      </c>
      <c r="E32" s="14">
        <v>2.0</v>
      </c>
      <c r="F32" s="14">
        <v>1.0</v>
      </c>
      <c r="G32" s="13" t="s">
        <v>112</v>
      </c>
    </row>
    <row r="33">
      <c r="A33" s="11">
        <f t="shared" si="1"/>
        <v>81</v>
      </c>
      <c r="B33" s="15" t="s">
        <v>113</v>
      </c>
      <c r="C33" s="13" t="s">
        <v>114</v>
      </c>
      <c r="D33" s="13" t="s">
        <v>69</v>
      </c>
      <c r="E33" s="14">
        <v>9.0</v>
      </c>
      <c r="F33" s="14">
        <v>9.0</v>
      </c>
      <c r="G33" s="13" t="s">
        <v>115</v>
      </c>
    </row>
    <row r="34">
      <c r="A34" s="11">
        <f t="shared" si="1"/>
        <v>2</v>
      </c>
      <c r="B34" s="15" t="s">
        <v>116</v>
      </c>
      <c r="C34" s="13" t="s">
        <v>117</v>
      </c>
      <c r="D34" s="13" t="s">
        <v>51</v>
      </c>
      <c r="E34" s="14">
        <v>2.0</v>
      </c>
      <c r="F34" s="14">
        <v>1.0</v>
      </c>
      <c r="G34" s="13" t="s">
        <v>118</v>
      </c>
    </row>
    <row r="35">
      <c r="A35" s="11">
        <f t="shared" si="1"/>
        <v>5</v>
      </c>
      <c r="B35" s="15" t="s">
        <v>119</v>
      </c>
      <c r="C35" s="13" t="s">
        <v>120</v>
      </c>
      <c r="D35" s="28" t="s">
        <v>48</v>
      </c>
      <c r="E35" s="14">
        <v>5.0</v>
      </c>
      <c r="F35" s="14">
        <v>1.0</v>
      </c>
      <c r="G35" s="13" t="s">
        <v>121</v>
      </c>
    </row>
    <row r="36">
      <c r="A36" s="11">
        <f t="shared" si="1"/>
        <v>5</v>
      </c>
      <c r="B36" s="15" t="s">
        <v>122</v>
      </c>
      <c r="C36" s="13" t="s">
        <v>123</v>
      </c>
      <c r="D36" s="13" t="s">
        <v>23</v>
      </c>
      <c r="E36" s="14">
        <v>5.0</v>
      </c>
      <c r="F36" s="14">
        <v>1.0</v>
      </c>
      <c r="G36" s="13" t="s">
        <v>124</v>
      </c>
    </row>
    <row r="37">
      <c r="A37" s="11">
        <f t="shared" si="1"/>
        <v>80</v>
      </c>
      <c r="B37" s="15" t="s">
        <v>125</v>
      </c>
      <c r="C37" s="13" t="s">
        <v>126</v>
      </c>
      <c r="D37" s="13" t="s">
        <v>69</v>
      </c>
      <c r="E37" s="14">
        <v>10.0</v>
      </c>
      <c r="F37" s="14">
        <v>8.0</v>
      </c>
      <c r="G37" s="13" t="s">
        <v>127</v>
      </c>
    </row>
    <row r="38">
      <c r="A38" s="11">
        <f t="shared" si="1"/>
        <v>3</v>
      </c>
      <c r="B38" s="15" t="s">
        <v>128</v>
      </c>
      <c r="C38" s="13" t="s">
        <v>41</v>
      </c>
      <c r="D38" s="13" t="s">
        <v>87</v>
      </c>
      <c r="E38" s="14">
        <v>3.0</v>
      </c>
      <c r="F38" s="14">
        <v>1.0</v>
      </c>
      <c r="G38" s="13" t="s">
        <v>129</v>
      </c>
    </row>
    <row r="39">
      <c r="A39" s="11">
        <f t="shared" si="1"/>
        <v>195</v>
      </c>
      <c r="B39" s="15" t="s">
        <v>130</v>
      </c>
      <c r="C39" s="13" t="s">
        <v>131</v>
      </c>
      <c r="D39" s="13" t="s">
        <v>69</v>
      </c>
      <c r="E39" s="14">
        <v>13.0</v>
      </c>
      <c r="F39" s="14">
        <v>15.0</v>
      </c>
      <c r="G39" s="16" t="s">
        <v>132</v>
      </c>
    </row>
    <row r="40">
      <c r="A40" s="11">
        <f t="shared" si="1"/>
        <v>6</v>
      </c>
      <c r="B40" s="15" t="s">
        <v>133</v>
      </c>
      <c r="C40" s="13" t="s">
        <v>120</v>
      </c>
      <c r="D40" s="28" t="s">
        <v>48</v>
      </c>
      <c r="E40" s="14">
        <v>6.0</v>
      </c>
      <c r="F40" s="14">
        <v>1.0</v>
      </c>
      <c r="G40" s="13" t="s">
        <v>134</v>
      </c>
    </row>
    <row r="41">
      <c r="A41" s="11">
        <f t="shared" si="1"/>
        <v>56</v>
      </c>
      <c r="B41" s="15" t="s">
        <v>135</v>
      </c>
      <c r="C41" s="13" t="s">
        <v>136</v>
      </c>
      <c r="D41" s="13" t="s">
        <v>137</v>
      </c>
      <c r="E41" s="14">
        <v>14.0</v>
      </c>
      <c r="F41" s="14">
        <v>4.0</v>
      </c>
      <c r="G41" s="13" t="s">
        <v>138</v>
      </c>
    </row>
    <row r="42">
      <c r="B42" s="33"/>
      <c r="C42" s="34"/>
      <c r="D42" s="35"/>
      <c r="E42" s="22"/>
      <c r="F42" s="22"/>
    </row>
    <row r="43">
      <c r="B43" s="17"/>
      <c r="D43" s="18"/>
      <c r="E43" s="19"/>
      <c r="F43" s="19"/>
    </row>
    <row r="44">
      <c r="B44" s="17"/>
      <c r="D44" s="18"/>
      <c r="E44" s="19"/>
      <c r="F44" s="19"/>
    </row>
    <row r="45">
      <c r="B45" s="17"/>
      <c r="D45" s="18"/>
      <c r="E45" s="19"/>
      <c r="F45" s="19"/>
    </row>
    <row r="46">
      <c r="B46" s="17"/>
      <c r="D46" s="18"/>
      <c r="E46" s="19"/>
      <c r="F46" s="19"/>
    </row>
    <row r="47">
      <c r="B47" s="17"/>
      <c r="D47" s="18"/>
      <c r="E47" s="19"/>
      <c r="F47" s="19"/>
    </row>
    <row r="48">
      <c r="B48" s="17"/>
      <c r="D48" s="18"/>
      <c r="E48" s="19"/>
      <c r="F48" s="19"/>
    </row>
    <row r="49">
      <c r="B49" s="17"/>
      <c r="D49" s="18"/>
      <c r="E49" s="19"/>
      <c r="F49" s="19"/>
    </row>
    <row r="50">
      <c r="B50" s="17"/>
      <c r="D50" s="18"/>
      <c r="E50" s="19"/>
      <c r="F50" s="19"/>
    </row>
    <row r="51">
      <c r="B51" s="17"/>
      <c r="D51" s="18"/>
      <c r="E51" s="19"/>
      <c r="F51" s="19"/>
    </row>
    <row r="52">
      <c r="B52" s="17"/>
      <c r="D52" s="18"/>
      <c r="E52" s="19"/>
      <c r="F52" s="19"/>
    </row>
    <row r="53">
      <c r="B53" s="17"/>
      <c r="D53" s="18"/>
      <c r="E53" s="19"/>
      <c r="F53" s="19"/>
    </row>
    <row r="54">
      <c r="B54" s="17"/>
      <c r="D54" s="18"/>
      <c r="E54" s="19"/>
      <c r="F54" s="19"/>
    </row>
    <row r="55">
      <c r="B55" s="17"/>
      <c r="D55" s="18"/>
      <c r="E55" s="19"/>
      <c r="F55" s="19"/>
    </row>
    <row r="56">
      <c r="B56" s="17"/>
      <c r="D56" s="18"/>
      <c r="E56" s="19"/>
      <c r="F56" s="19"/>
    </row>
    <row r="57">
      <c r="B57" s="17"/>
      <c r="D57" s="18"/>
      <c r="E57" s="19"/>
      <c r="F57" s="19"/>
    </row>
    <row r="58">
      <c r="B58" s="21"/>
      <c r="D58" s="18"/>
      <c r="E58" s="19"/>
      <c r="F58" s="19"/>
    </row>
    <row r="59">
      <c r="B59" s="22"/>
      <c r="D59" s="18"/>
      <c r="E59" s="19"/>
      <c r="F59" s="19"/>
    </row>
    <row r="60">
      <c r="B60" s="22"/>
      <c r="D60" s="18"/>
      <c r="E60" s="19"/>
      <c r="F60" s="19"/>
    </row>
    <row r="61">
      <c r="B61" s="22"/>
      <c r="D61" s="18"/>
      <c r="E61" s="19"/>
      <c r="F61" s="19"/>
    </row>
    <row r="62">
      <c r="B62" s="17"/>
      <c r="D62" s="18"/>
      <c r="E62" s="19"/>
      <c r="F62" s="23"/>
    </row>
    <row r="63">
      <c r="B63" s="17"/>
      <c r="D63" s="18"/>
      <c r="E63" s="19"/>
      <c r="F63" s="19"/>
    </row>
    <row r="64">
      <c r="B64" s="17"/>
      <c r="D64" s="24"/>
      <c r="E64" s="19"/>
      <c r="F64" s="22"/>
      <c r="G64" s="25"/>
    </row>
    <row r="65">
      <c r="B65" s="17"/>
      <c r="D65" s="24"/>
      <c r="E65" s="19"/>
      <c r="F65" s="22"/>
      <c r="G65" s="25"/>
    </row>
    <row r="66">
      <c r="B66" s="17"/>
      <c r="D66" s="24"/>
      <c r="E66" s="19"/>
      <c r="F66" s="22"/>
      <c r="G66" s="25"/>
    </row>
    <row r="67">
      <c r="B67" s="17"/>
      <c r="D67" s="24"/>
      <c r="E67" s="19"/>
      <c r="F67" s="22"/>
      <c r="G67" s="25"/>
    </row>
    <row r="68">
      <c r="B68" s="17"/>
      <c r="D68" s="24"/>
      <c r="E68" s="19"/>
      <c r="F68" s="22"/>
      <c r="G68" s="25"/>
    </row>
    <row r="69">
      <c r="B69" s="17"/>
      <c r="D69" s="24"/>
      <c r="E69" s="19"/>
      <c r="F69" s="22"/>
      <c r="G69" s="25"/>
    </row>
    <row r="70">
      <c r="B70" s="17"/>
      <c r="D70" s="24"/>
      <c r="E70" s="19"/>
      <c r="F70" s="22"/>
      <c r="G70" s="25"/>
    </row>
    <row r="71">
      <c r="B71" s="17"/>
      <c r="D71" s="24"/>
      <c r="E71" s="19"/>
      <c r="F71" s="22"/>
      <c r="G71" s="25"/>
    </row>
    <row r="72">
      <c r="B72" s="17"/>
      <c r="D72" s="24"/>
      <c r="E72" s="19"/>
      <c r="F72" s="22"/>
      <c r="G72" s="25"/>
    </row>
    <row r="73">
      <c r="B73" s="17"/>
      <c r="D73" s="24"/>
      <c r="E73" s="19"/>
      <c r="F73" s="22"/>
      <c r="G73" s="25"/>
    </row>
    <row r="74">
      <c r="B74" s="17"/>
      <c r="D74" s="24"/>
      <c r="E74" s="19"/>
      <c r="F74" s="22"/>
      <c r="G74" s="25"/>
    </row>
    <row r="75">
      <c r="B75" s="17"/>
      <c r="D75" s="24"/>
      <c r="E75" s="19"/>
      <c r="F75" s="22"/>
      <c r="G75" s="25"/>
    </row>
    <row r="76">
      <c r="B76" s="17"/>
      <c r="D76" s="18"/>
      <c r="E76" s="19"/>
      <c r="F76" s="19"/>
    </row>
    <row r="77">
      <c r="B77" s="26"/>
      <c r="D77" s="18"/>
      <c r="E77" s="19"/>
      <c r="G77" s="27"/>
    </row>
    <row r="78">
      <c r="B78" s="26"/>
      <c r="D78" s="18"/>
      <c r="E78" s="19"/>
      <c r="F78" s="19"/>
    </row>
    <row r="79">
      <c r="B79" s="26"/>
      <c r="D79" s="18"/>
      <c r="E79" s="19"/>
      <c r="F79" s="19"/>
    </row>
    <row r="80">
      <c r="B80" s="26"/>
      <c r="D80" s="18"/>
      <c r="E80" s="19"/>
      <c r="F80" s="19"/>
    </row>
    <row r="81">
      <c r="B81" s="26"/>
      <c r="D81" s="18"/>
      <c r="E81" s="19"/>
      <c r="F81" s="19"/>
    </row>
    <row r="82">
      <c r="B82" s="26"/>
      <c r="D82" s="18"/>
      <c r="E82" s="19"/>
      <c r="F82" s="19"/>
    </row>
    <row r="83">
      <c r="B83" s="26"/>
      <c r="D83" s="18"/>
      <c r="E83" s="19"/>
      <c r="F83" s="19"/>
    </row>
    <row r="84">
      <c r="B84" s="26"/>
      <c r="D84" s="18"/>
      <c r="E84" s="19"/>
      <c r="F84" s="19"/>
    </row>
    <row r="85">
      <c r="B85" s="26"/>
      <c r="D85" s="18"/>
      <c r="E85" s="19"/>
      <c r="F85" s="19"/>
    </row>
    <row r="86">
      <c r="B86" s="26"/>
      <c r="D86" s="18"/>
      <c r="E86" s="19"/>
      <c r="F86" s="19"/>
    </row>
    <row r="87">
      <c r="B87" s="26"/>
      <c r="D87" s="18"/>
      <c r="E87" s="19"/>
      <c r="F87" s="19"/>
    </row>
    <row r="88">
      <c r="B88" s="26"/>
      <c r="D88" s="18"/>
      <c r="E88" s="19"/>
      <c r="F88" s="19"/>
    </row>
    <row r="89">
      <c r="B89" s="26"/>
      <c r="D89" s="18"/>
      <c r="E89" s="19"/>
      <c r="F89" s="19"/>
    </row>
    <row r="90">
      <c r="B90" s="26"/>
      <c r="D90" s="18"/>
      <c r="E90" s="19"/>
      <c r="F90" s="19"/>
    </row>
    <row r="91">
      <c r="B91" s="26"/>
      <c r="D91" s="18"/>
      <c r="E91" s="19"/>
      <c r="F91" s="19"/>
    </row>
    <row r="92">
      <c r="B92" s="26"/>
      <c r="D92" s="18"/>
      <c r="E92" s="19"/>
      <c r="F92" s="19"/>
    </row>
    <row r="93">
      <c r="B93" s="26"/>
      <c r="D93" s="18"/>
      <c r="E93" s="19"/>
      <c r="F93" s="19"/>
    </row>
    <row r="94">
      <c r="B94" s="26"/>
      <c r="D94" s="18"/>
      <c r="E94" s="19"/>
      <c r="F94" s="19"/>
    </row>
    <row r="95">
      <c r="B95" s="26"/>
      <c r="D95" s="18"/>
      <c r="E95" s="19"/>
      <c r="F95" s="19"/>
    </row>
    <row r="96">
      <c r="B96" s="26"/>
      <c r="D96" s="18"/>
      <c r="E96" s="19"/>
      <c r="F96" s="19"/>
    </row>
    <row r="97">
      <c r="B97" s="26"/>
      <c r="D97" s="18"/>
      <c r="E97" s="19"/>
      <c r="F97" s="19"/>
    </row>
    <row r="98">
      <c r="B98" s="26"/>
      <c r="D98" s="18"/>
      <c r="E98" s="19"/>
      <c r="F98" s="19"/>
    </row>
    <row r="99">
      <c r="B99" s="26"/>
      <c r="D99" s="18"/>
      <c r="E99" s="19"/>
      <c r="F99" s="19"/>
    </row>
    <row r="100">
      <c r="B100" s="26"/>
      <c r="D100" s="18"/>
      <c r="E100" s="19"/>
      <c r="F100" s="19"/>
    </row>
    <row r="101">
      <c r="B101" s="26"/>
      <c r="D101" s="18"/>
      <c r="E101" s="19"/>
      <c r="F101" s="19"/>
    </row>
    <row r="102">
      <c r="B102" s="26"/>
      <c r="D102" s="18"/>
      <c r="E102" s="19"/>
      <c r="F102" s="19"/>
    </row>
    <row r="103">
      <c r="B103" s="26"/>
      <c r="D103" s="18"/>
      <c r="E103" s="19"/>
      <c r="F103" s="19"/>
    </row>
    <row r="104">
      <c r="B104" s="26"/>
      <c r="D104" s="18"/>
      <c r="E104" s="19"/>
      <c r="F104" s="19"/>
    </row>
    <row r="105">
      <c r="B105" s="26"/>
      <c r="D105" s="18"/>
      <c r="E105" s="19"/>
      <c r="F105" s="19"/>
    </row>
    <row r="106">
      <c r="B106" s="26"/>
      <c r="D106" s="18"/>
      <c r="E106" s="19"/>
      <c r="F106" s="19"/>
    </row>
    <row r="107">
      <c r="B107" s="26"/>
      <c r="D107" s="18"/>
      <c r="E107" s="19"/>
      <c r="F107" s="19"/>
    </row>
    <row r="108">
      <c r="B108" s="26"/>
      <c r="D108" s="18"/>
      <c r="E108" s="19"/>
      <c r="F108" s="19"/>
    </row>
    <row r="109">
      <c r="B109" s="26"/>
      <c r="D109" s="18"/>
      <c r="E109" s="19"/>
      <c r="F109" s="19"/>
    </row>
    <row r="110">
      <c r="B110" s="26"/>
      <c r="D110" s="18"/>
      <c r="E110" s="19"/>
      <c r="F110" s="19"/>
    </row>
    <row r="111">
      <c r="B111" s="26"/>
      <c r="D111" s="18"/>
      <c r="E111" s="19"/>
      <c r="F111" s="19"/>
    </row>
    <row r="112">
      <c r="B112" s="26"/>
      <c r="D112" s="18"/>
      <c r="E112" s="19"/>
      <c r="F112" s="19"/>
    </row>
    <row r="113">
      <c r="B113" s="26"/>
      <c r="D113" s="18"/>
      <c r="E113" s="19"/>
      <c r="F113" s="19"/>
    </row>
    <row r="114">
      <c r="B114" s="26"/>
      <c r="D114" s="18"/>
      <c r="E114" s="19"/>
      <c r="F114" s="19"/>
    </row>
    <row r="115">
      <c r="B115" s="26"/>
      <c r="D115" s="18"/>
      <c r="E115" s="19"/>
      <c r="F115" s="19"/>
    </row>
    <row r="116">
      <c r="B116" s="26"/>
      <c r="D116" s="18"/>
      <c r="E116" s="19"/>
      <c r="F116" s="19"/>
    </row>
    <row r="117">
      <c r="B117" s="26"/>
      <c r="D117" s="18"/>
      <c r="E117" s="19"/>
      <c r="F117" s="19"/>
    </row>
    <row r="118">
      <c r="B118" s="26"/>
      <c r="D118" s="18"/>
      <c r="E118" s="19"/>
      <c r="F118" s="19"/>
    </row>
    <row r="119">
      <c r="B119" s="26"/>
      <c r="D119" s="18"/>
      <c r="E119" s="19"/>
      <c r="F119" s="19"/>
    </row>
    <row r="120">
      <c r="B120" s="26"/>
      <c r="D120" s="18"/>
      <c r="E120" s="19"/>
      <c r="F120" s="19"/>
    </row>
    <row r="121">
      <c r="B121" s="26"/>
      <c r="D121" s="18"/>
      <c r="E121" s="19"/>
      <c r="F121" s="19"/>
    </row>
    <row r="122">
      <c r="B122" s="26"/>
      <c r="D122" s="18"/>
      <c r="E122" s="19"/>
      <c r="F122" s="19"/>
    </row>
    <row r="123">
      <c r="B123" s="26"/>
      <c r="D123" s="18"/>
      <c r="E123" s="19"/>
      <c r="F123" s="19"/>
    </row>
    <row r="124">
      <c r="B124" s="26"/>
      <c r="D124" s="18"/>
      <c r="E124" s="19"/>
      <c r="F124" s="19"/>
    </row>
    <row r="125">
      <c r="B125" s="26"/>
      <c r="D125" s="18"/>
      <c r="E125" s="19"/>
      <c r="F125" s="19"/>
    </row>
    <row r="126">
      <c r="B126" s="26"/>
      <c r="D126" s="18"/>
      <c r="E126" s="19"/>
      <c r="F126" s="19"/>
    </row>
    <row r="127">
      <c r="B127" s="26"/>
      <c r="D127" s="18"/>
      <c r="E127" s="19"/>
      <c r="F127" s="19"/>
    </row>
    <row r="128">
      <c r="B128" s="26"/>
      <c r="D128" s="18"/>
      <c r="E128" s="19"/>
      <c r="F128" s="19"/>
    </row>
    <row r="129">
      <c r="B129" s="26"/>
      <c r="D129" s="18"/>
      <c r="E129" s="19"/>
      <c r="F129" s="19"/>
    </row>
    <row r="130">
      <c r="B130" s="26"/>
      <c r="D130" s="18"/>
      <c r="E130" s="19"/>
      <c r="F130" s="19"/>
    </row>
    <row r="131">
      <c r="B131" s="26"/>
      <c r="D131" s="18"/>
      <c r="E131" s="19"/>
      <c r="F131" s="19"/>
    </row>
    <row r="132">
      <c r="B132" s="26"/>
      <c r="D132" s="18"/>
      <c r="E132" s="19"/>
      <c r="F132" s="19"/>
    </row>
    <row r="133">
      <c r="B133" s="26"/>
      <c r="D133" s="18"/>
      <c r="E133" s="19"/>
      <c r="F133" s="19"/>
    </row>
    <row r="134">
      <c r="B134" s="26"/>
      <c r="D134" s="18"/>
      <c r="E134" s="19"/>
      <c r="F134" s="19"/>
    </row>
    <row r="135">
      <c r="B135" s="26"/>
      <c r="D135" s="18"/>
      <c r="E135" s="19"/>
      <c r="F135" s="19"/>
    </row>
    <row r="136">
      <c r="B136" s="26"/>
      <c r="D136" s="18"/>
      <c r="E136" s="19"/>
      <c r="F136" s="19"/>
    </row>
    <row r="137">
      <c r="B137" s="26"/>
      <c r="D137" s="18"/>
      <c r="E137" s="19"/>
      <c r="F137" s="19"/>
    </row>
    <row r="138">
      <c r="B138" s="26"/>
      <c r="D138" s="18"/>
      <c r="E138" s="19"/>
      <c r="F138" s="19"/>
    </row>
    <row r="139">
      <c r="B139" s="26"/>
      <c r="D139" s="18"/>
      <c r="E139" s="19"/>
      <c r="F139" s="19"/>
    </row>
    <row r="140">
      <c r="B140" s="26"/>
      <c r="D140" s="18"/>
      <c r="E140" s="19"/>
      <c r="F140" s="19"/>
    </row>
    <row r="141">
      <c r="B141" s="26"/>
      <c r="D141" s="18"/>
      <c r="E141" s="19"/>
      <c r="F141" s="19"/>
    </row>
    <row r="142">
      <c r="B142" s="26"/>
      <c r="D142" s="18"/>
      <c r="E142" s="19"/>
      <c r="F142" s="19"/>
    </row>
    <row r="143">
      <c r="B143" s="26"/>
      <c r="D143" s="18"/>
      <c r="E143" s="19"/>
      <c r="F143" s="19"/>
    </row>
    <row r="144">
      <c r="B144" s="26"/>
      <c r="D144" s="18"/>
      <c r="E144" s="19"/>
      <c r="F144" s="19"/>
    </row>
    <row r="145">
      <c r="B145" s="26"/>
      <c r="D145" s="18"/>
      <c r="E145" s="19"/>
      <c r="F145" s="19"/>
    </row>
    <row r="146">
      <c r="B146" s="26"/>
      <c r="D146" s="18"/>
      <c r="E146" s="19"/>
      <c r="F146" s="19"/>
    </row>
    <row r="147">
      <c r="B147" s="26"/>
      <c r="D147" s="18"/>
      <c r="E147" s="19"/>
      <c r="F147" s="19"/>
    </row>
    <row r="148">
      <c r="B148" s="26"/>
      <c r="D148" s="18"/>
      <c r="E148" s="19"/>
      <c r="F148" s="19"/>
    </row>
    <row r="149">
      <c r="B149" s="26"/>
      <c r="D149" s="18"/>
      <c r="E149" s="19"/>
      <c r="F149" s="19"/>
    </row>
    <row r="150">
      <c r="B150" s="26"/>
      <c r="D150" s="18"/>
      <c r="E150" s="19"/>
      <c r="F150" s="19"/>
    </row>
    <row r="151">
      <c r="B151" s="26"/>
      <c r="D151" s="18"/>
      <c r="E151" s="19"/>
      <c r="F151" s="19"/>
    </row>
    <row r="152">
      <c r="B152" s="26"/>
      <c r="D152" s="18"/>
      <c r="E152" s="19"/>
      <c r="F152" s="19"/>
    </row>
    <row r="153">
      <c r="B153" s="26"/>
      <c r="D153" s="18"/>
      <c r="E153" s="19"/>
      <c r="F153" s="19"/>
    </row>
    <row r="154">
      <c r="B154" s="26"/>
      <c r="D154" s="18"/>
      <c r="E154" s="19"/>
      <c r="F154" s="19"/>
    </row>
    <row r="155">
      <c r="B155" s="26"/>
      <c r="D155" s="18"/>
      <c r="E155" s="19"/>
      <c r="F155" s="19"/>
    </row>
    <row r="156">
      <c r="B156" s="26"/>
      <c r="D156" s="18"/>
      <c r="E156" s="19"/>
      <c r="F156" s="19"/>
    </row>
    <row r="157">
      <c r="B157" s="26"/>
      <c r="D157" s="18"/>
      <c r="E157" s="19"/>
      <c r="F157" s="19"/>
    </row>
    <row r="158">
      <c r="B158" s="26"/>
      <c r="D158" s="18"/>
      <c r="E158" s="19"/>
      <c r="F158" s="19"/>
    </row>
    <row r="159">
      <c r="B159" s="26"/>
      <c r="D159" s="18"/>
      <c r="E159" s="19"/>
      <c r="F159" s="19"/>
    </row>
    <row r="160">
      <c r="B160" s="26"/>
      <c r="D160" s="18"/>
      <c r="E160" s="19"/>
      <c r="F160" s="19"/>
    </row>
    <row r="161">
      <c r="B161" s="26"/>
      <c r="D161" s="18"/>
      <c r="E161" s="19"/>
      <c r="F161" s="19"/>
    </row>
    <row r="162">
      <c r="B162" s="26"/>
      <c r="D162" s="18"/>
      <c r="E162" s="19"/>
      <c r="F162" s="19"/>
    </row>
    <row r="163">
      <c r="B163" s="26"/>
      <c r="D163" s="18"/>
      <c r="E163" s="19"/>
      <c r="F163" s="19"/>
    </row>
    <row r="164">
      <c r="B164" s="26"/>
      <c r="D164" s="18"/>
      <c r="E164" s="19"/>
      <c r="F164" s="19"/>
    </row>
    <row r="165">
      <c r="B165" s="26"/>
      <c r="D165" s="18"/>
      <c r="E165" s="19"/>
      <c r="F165" s="19"/>
    </row>
    <row r="166">
      <c r="B166" s="26"/>
      <c r="D166" s="18"/>
      <c r="E166" s="19"/>
      <c r="F166" s="19"/>
    </row>
    <row r="167">
      <c r="B167" s="26"/>
      <c r="D167" s="18"/>
      <c r="E167" s="19"/>
      <c r="F167" s="19"/>
    </row>
    <row r="168">
      <c r="B168" s="26"/>
      <c r="D168" s="18"/>
      <c r="E168" s="19"/>
      <c r="F168" s="19"/>
    </row>
    <row r="169">
      <c r="B169" s="26"/>
      <c r="D169" s="18"/>
      <c r="E169" s="19"/>
      <c r="F169" s="19"/>
    </row>
    <row r="170">
      <c r="B170" s="26"/>
      <c r="D170" s="18"/>
      <c r="E170" s="19"/>
      <c r="F170" s="19"/>
    </row>
    <row r="171">
      <c r="B171" s="26"/>
      <c r="D171" s="18"/>
      <c r="E171" s="19"/>
      <c r="F171" s="19"/>
    </row>
    <row r="172">
      <c r="B172" s="26"/>
      <c r="D172" s="18"/>
      <c r="E172" s="19"/>
      <c r="F172" s="19"/>
    </row>
    <row r="173">
      <c r="B173" s="26"/>
      <c r="D173" s="18"/>
      <c r="E173" s="19"/>
      <c r="F173" s="19"/>
    </row>
    <row r="174">
      <c r="B174" s="26"/>
      <c r="D174" s="18"/>
      <c r="E174" s="19"/>
      <c r="F174" s="19"/>
    </row>
    <row r="175">
      <c r="B175" s="26"/>
      <c r="D175" s="18"/>
      <c r="E175" s="19"/>
      <c r="F175" s="19"/>
    </row>
    <row r="176">
      <c r="B176" s="26"/>
      <c r="D176" s="18"/>
      <c r="E176" s="19"/>
      <c r="F176" s="19"/>
    </row>
    <row r="177">
      <c r="B177" s="26"/>
      <c r="D177" s="18"/>
      <c r="E177" s="19"/>
      <c r="F177" s="19"/>
    </row>
    <row r="178">
      <c r="B178" s="26"/>
      <c r="D178" s="18"/>
      <c r="E178" s="19"/>
      <c r="F178" s="19"/>
    </row>
    <row r="179">
      <c r="B179" s="26"/>
      <c r="D179" s="18"/>
      <c r="E179" s="19"/>
      <c r="F179" s="19"/>
    </row>
    <row r="180">
      <c r="B180" s="26"/>
      <c r="D180" s="18"/>
      <c r="E180" s="19"/>
      <c r="F180" s="19"/>
    </row>
    <row r="181">
      <c r="B181" s="26"/>
      <c r="D181" s="18"/>
      <c r="E181" s="19"/>
      <c r="F181" s="19"/>
    </row>
    <row r="182">
      <c r="B182" s="26"/>
      <c r="D182" s="18"/>
      <c r="E182" s="19"/>
      <c r="F182" s="19"/>
    </row>
    <row r="183">
      <c r="B183" s="26"/>
      <c r="D183" s="18"/>
      <c r="E183" s="19"/>
      <c r="F183" s="19"/>
    </row>
    <row r="184">
      <c r="B184" s="26"/>
      <c r="D184" s="18"/>
      <c r="E184" s="19"/>
      <c r="F184" s="19"/>
    </row>
    <row r="185">
      <c r="B185" s="26"/>
      <c r="D185" s="18"/>
      <c r="E185" s="19"/>
      <c r="F185" s="19"/>
    </row>
    <row r="186">
      <c r="B186" s="26"/>
      <c r="D186" s="18"/>
      <c r="E186" s="19"/>
      <c r="F186" s="19"/>
    </row>
    <row r="187">
      <c r="B187" s="26"/>
      <c r="D187" s="18"/>
      <c r="E187" s="19"/>
      <c r="F187" s="19"/>
    </row>
    <row r="188">
      <c r="B188" s="26"/>
      <c r="D188" s="18"/>
      <c r="E188" s="19"/>
      <c r="F188" s="19"/>
    </row>
    <row r="189">
      <c r="B189" s="26"/>
      <c r="D189" s="18"/>
      <c r="E189" s="19"/>
      <c r="F189" s="19"/>
    </row>
    <row r="190">
      <c r="B190" s="26"/>
      <c r="D190" s="18"/>
      <c r="E190" s="19"/>
      <c r="F190" s="19"/>
    </row>
    <row r="191">
      <c r="B191" s="26"/>
      <c r="D191" s="18"/>
      <c r="E191" s="19"/>
      <c r="F191" s="19"/>
    </row>
    <row r="192">
      <c r="B192" s="26"/>
      <c r="D192" s="18"/>
      <c r="E192" s="19"/>
      <c r="F192" s="19"/>
    </row>
    <row r="193">
      <c r="B193" s="26"/>
      <c r="D193" s="18"/>
      <c r="E193" s="19"/>
      <c r="F193" s="19"/>
    </row>
    <row r="194">
      <c r="B194" s="26"/>
      <c r="D194" s="18"/>
      <c r="E194" s="19"/>
      <c r="F194" s="19"/>
    </row>
    <row r="195">
      <c r="B195" s="26"/>
      <c r="D195" s="18"/>
      <c r="E195" s="19"/>
      <c r="F195" s="19"/>
    </row>
    <row r="196">
      <c r="B196" s="26"/>
      <c r="D196" s="18"/>
      <c r="E196" s="19"/>
      <c r="F196" s="19"/>
    </row>
    <row r="197">
      <c r="B197" s="26"/>
      <c r="D197" s="18"/>
      <c r="E197" s="19"/>
      <c r="F197" s="19"/>
    </row>
    <row r="198">
      <c r="B198" s="26"/>
      <c r="D198" s="18"/>
      <c r="E198" s="19"/>
      <c r="F198" s="19"/>
    </row>
    <row r="199">
      <c r="B199" s="26"/>
      <c r="D199" s="18"/>
      <c r="E199" s="19"/>
      <c r="F199" s="19"/>
    </row>
    <row r="200">
      <c r="B200" s="26"/>
      <c r="D200" s="18"/>
      <c r="E200" s="19"/>
      <c r="F200" s="19"/>
    </row>
    <row r="201">
      <c r="B201" s="26"/>
      <c r="D201" s="18"/>
      <c r="E201" s="19"/>
      <c r="F201" s="19"/>
    </row>
    <row r="202">
      <c r="B202" s="26"/>
      <c r="D202" s="18"/>
      <c r="E202" s="19"/>
      <c r="F202" s="19"/>
    </row>
    <row r="203">
      <c r="B203" s="26"/>
      <c r="D203" s="18"/>
      <c r="E203" s="19"/>
      <c r="F203" s="19"/>
    </row>
    <row r="204">
      <c r="B204" s="26"/>
      <c r="D204" s="18"/>
      <c r="E204" s="19"/>
      <c r="F204" s="19"/>
    </row>
    <row r="205">
      <c r="B205" s="26"/>
      <c r="D205" s="18"/>
      <c r="E205" s="19"/>
      <c r="F205" s="19"/>
    </row>
    <row r="206">
      <c r="B206" s="26"/>
      <c r="D206" s="18"/>
      <c r="E206" s="19"/>
      <c r="F206" s="19"/>
    </row>
    <row r="207">
      <c r="B207" s="26"/>
      <c r="D207" s="18"/>
      <c r="E207" s="19"/>
      <c r="F207" s="19"/>
    </row>
    <row r="208">
      <c r="B208" s="26"/>
      <c r="D208" s="18"/>
      <c r="E208" s="19"/>
      <c r="F208" s="19"/>
    </row>
    <row r="209">
      <c r="B209" s="26"/>
      <c r="D209" s="18"/>
      <c r="E209" s="19"/>
      <c r="F209" s="19"/>
    </row>
    <row r="210">
      <c r="B210" s="26"/>
      <c r="D210" s="18"/>
      <c r="E210" s="19"/>
      <c r="F210" s="19"/>
    </row>
    <row r="211">
      <c r="B211" s="26"/>
      <c r="D211" s="18"/>
      <c r="E211" s="19"/>
      <c r="F211" s="19"/>
    </row>
    <row r="212">
      <c r="B212" s="26"/>
      <c r="D212" s="18"/>
      <c r="E212" s="19"/>
      <c r="F212" s="19"/>
    </row>
    <row r="213">
      <c r="B213" s="26"/>
      <c r="D213" s="18"/>
      <c r="E213" s="19"/>
      <c r="F213" s="19"/>
    </row>
    <row r="214">
      <c r="B214" s="26"/>
      <c r="D214" s="18"/>
      <c r="E214" s="19"/>
      <c r="F214" s="19"/>
    </row>
    <row r="215">
      <c r="B215" s="26"/>
      <c r="D215" s="18"/>
      <c r="E215" s="19"/>
      <c r="F215" s="19"/>
    </row>
    <row r="216">
      <c r="B216" s="26"/>
      <c r="D216" s="18"/>
      <c r="E216" s="19"/>
      <c r="F216" s="19"/>
    </row>
    <row r="217">
      <c r="B217" s="26"/>
      <c r="D217" s="18"/>
      <c r="E217" s="19"/>
      <c r="F217" s="19"/>
    </row>
    <row r="218">
      <c r="B218" s="26"/>
      <c r="D218" s="18"/>
      <c r="E218" s="19"/>
      <c r="F218" s="19"/>
    </row>
    <row r="219">
      <c r="B219" s="26"/>
      <c r="D219" s="18"/>
      <c r="E219" s="19"/>
      <c r="F219" s="19"/>
    </row>
    <row r="220">
      <c r="B220" s="26"/>
      <c r="D220" s="18"/>
      <c r="E220" s="19"/>
      <c r="F220" s="19"/>
    </row>
    <row r="221">
      <c r="B221" s="26"/>
      <c r="D221" s="18"/>
      <c r="E221" s="19"/>
      <c r="F221" s="19"/>
    </row>
    <row r="222">
      <c r="B222" s="26"/>
      <c r="D222" s="18"/>
      <c r="E222" s="19"/>
      <c r="F222" s="19"/>
    </row>
    <row r="223">
      <c r="B223" s="26"/>
      <c r="D223" s="18"/>
      <c r="E223" s="19"/>
      <c r="F223" s="19"/>
    </row>
    <row r="224">
      <c r="B224" s="26"/>
      <c r="D224" s="18"/>
      <c r="E224" s="19"/>
      <c r="F224" s="19"/>
    </row>
    <row r="225">
      <c r="B225" s="26"/>
      <c r="D225" s="18"/>
      <c r="E225" s="19"/>
      <c r="F225" s="19"/>
    </row>
    <row r="226">
      <c r="B226" s="26"/>
      <c r="D226" s="18"/>
      <c r="E226" s="19"/>
      <c r="F226" s="19"/>
    </row>
    <row r="227">
      <c r="B227" s="26"/>
      <c r="D227" s="18"/>
      <c r="E227" s="19"/>
      <c r="F227" s="19"/>
    </row>
    <row r="228">
      <c r="B228" s="26"/>
      <c r="D228" s="18"/>
      <c r="E228" s="19"/>
      <c r="F228" s="19"/>
    </row>
    <row r="229">
      <c r="B229" s="26"/>
      <c r="D229" s="18"/>
      <c r="E229" s="19"/>
      <c r="F229" s="19"/>
    </row>
    <row r="230">
      <c r="B230" s="26"/>
      <c r="D230" s="18"/>
      <c r="E230" s="19"/>
      <c r="F230" s="19"/>
    </row>
    <row r="231">
      <c r="B231" s="26"/>
      <c r="D231" s="18"/>
      <c r="E231" s="19"/>
      <c r="F231" s="19"/>
    </row>
    <row r="232">
      <c r="B232" s="26"/>
      <c r="D232" s="18"/>
      <c r="E232" s="19"/>
      <c r="F232" s="19"/>
    </row>
    <row r="233">
      <c r="B233" s="26"/>
      <c r="D233" s="18"/>
      <c r="E233" s="19"/>
      <c r="F233" s="19"/>
    </row>
    <row r="234">
      <c r="B234" s="26"/>
      <c r="D234" s="18"/>
      <c r="E234" s="19"/>
      <c r="F234" s="19"/>
    </row>
    <row r="235">
      <c r="B235" s="26"/>
      <c r="D235" s="18"/>
      <c r="E235" s="19"/>
      <c r="F235" s="19"/>
    </row>
    <row r="236">
      <c r="B236" s="26"/>
      <c r="D236" s="18"/>
      <c r="E236" s="19"/>
      <c r="F236" s="19"/>
    </row>
    <row r="237">
      <c r="B237" s="26"/>
      <c r="D237" s="18"/>
      <c r="E237" s="19"/>
      <c r="F237" s="19"/>
    </row>
    <row r="238">
      <c r="B238" s="26"/>
      <c r="D238" s="18"/>
      <c r="E238" s="19"/>
      <c r="F238" s="19"/>
    </row>
    <row r="239">
      <c r="B239" s="26"/>
      <c r="D239" s="18"/>
      <c r="E239" s="19"/>
      <c r="F239" s="19"/>
    </row>
    <row r="240">
      <c r="B240" s="26"/>
      <c r="D240" s="18"/>
      <c r="E240" s="19"/>
      <c r="F240" s="19"/>
    </row>
    <row r="241">
      <c r="B241" s="26"/>
      <c r="D241" s="18"/>
      <c r="E241" s="19"/>
      <c r="F241" s="19"/>
    </row>
    <row r="242">
      <c r="B242" s="26"/>
      <c r="D242" s="18"/>
      <c r="E242" s="19"/>
      <c r="F242" s="19"/>
    </row>
    <row r="243">
      <c r="B243" s="26"/>
      <c r="D243" s="18"/>
      <c r="E243" s="19"/>
      <c r="F243" s="19"/>
    </row>
    <row r="244">
      <c r="B244" s="26"/>
      <c r="D244" s="18"/>
      <c r="E244" s="19"/>
      <c r="F244" s="19"/>
    </row>
    <row r="245">
      <c r="B245" s="26"/>
      <c r="D245" s="18"/>
      <c r="E245" s="19"/>
      <c r="F245" s="19"/>
    </row>
    <row r="246">
      <c r="B246" s="26"/>
      <c r="D246" s="18"/>
      <c r="E246" s="19"/>
      <c r="F246" s="19"/>
    </row>
    <row r="247">
      <c r="B247" s="26"/>
      <c r="D247" s="18"/>
      <c r="E247" s="19"/>
      <c r="F247" s="19"/>
    </row>
    <row r="248">
      <c r="B248" s="26"/>
      <c r="D248" s="18"/>
      <c r="E248" s="19"/>
      <c r="F248" s="19"/>
    </row>
    <row r="249">
      <c r="B249" s="26"/>
      <c r="D249" s="18"/>
      <c r="E249" s="19"/>
      <c r="F249" s="19"/>
    </row>
    <row r="250">
      <c r="B250" s="26"/>
      <c r="D250" s="18"/>
      <c r="E250" s="19"/>
      <c r="F250" s="19"/>
    </row>
    <row r="251">
      <c r="B251" s="26"/>
      <c r="D251" s="18"/>
      <c r="E251" s="19"/>
      <c r="F251" s="19"/>
    </row>
    <row r="252">
      <c r="B252" s="26"/>
      <c r="D252" s="18"/>
      <c r="E252" s="19"/>
      <c r="F252" s="19"/>
    </row>
    <row r="253">
      <c r="B253" s="26"/>
      <c r="D253" s="18"/>
      <c r="E253" s="19"/>
      <c r="F253" s="19"/>
    </row>
    <row r="254">
      <c r="B254" s="26"/>
      <c r="D254" s="18"/>
      <c r="E254" s="19"/>
      <c r="F254" s="19"/>
    </row>
    <row r="255">
      <c r="B255" s="26"/>
      <c r="D255" s="18"/>
      <c r="E255" s="19"/>
      <c r="F255" s="19"/>
    </row>
    <row r="256">
      <c r="B256" s="26"/>
      <c r="D256" s="18"/>
      <c r="E256" s="19"/>
      <c r="F256" s="19"/>
    </row>
    <row r="257">
      <c r="B257" s="26"/>
      <c r="D257" s="18"/>
      <c r="E257" s="19"/>
      <c r="F257" s="19"/>
    </row>
    <row r="258">
      <c r="B258" s="26"/>
      <c r="D258" s="18"/>
      <c r="E258" s="19"/>
      <c r="F258" s="19"/>
    </row>
    <row r="259">
      <c r="B259" s="26"/>
      <c r="D259" s="18"/>
      <c r="E259" s="19"/>
      <c r="F259" s="19"/>
    </row>
    <row r="260">
      <c r="B260" s="26"/>
      <c r="D260" s="18"/>
      <c r="E260" s="19"/>
      <c r="F260" s="19"/>
    </row>
    <row r="261">
      <c r="B261" s="26"/>
      <c r="D261" s="18"/>
      <c r="E261" s="19"/>
      <c r="F261" s="19"/>
    </row>
    <row r="262">
      <c r="B262" s="26"/>
      <c r="D262" s="18"/>
      <c r="E262" s="19"/>
      <c r="F262" s="19"/>
    </row>
    <row r="263">
      <c r="B263" s="26"/>
      <c r="D263" s="18"/>
      <c r="E263" s="19"/>
      <c r="F263" s="19"/>
    </row>
    <row r="264">
      <c r="B264" s="26"/>
      <c r="D264" s="18"/>
      <c r="E264" s="19"/>
      <c r="F264" s="19"/>
    </row>
    <row r="265">
      <c r="B265" s="26"/>
      <c r="D265" s="18"/>
      <c r="E265" s="19"/>
      <c r="F265" s="19"/>
    </row>
    <row r="266">
      <c r="B266" s="26"/>
      <c r="D266" s="18"/>
      <c r="E266" s="19"/>
      <c r="F266" s="19"/>
    </row>
    <row r="267">
      <c r="B267" s="26"/>
      <c r="D267" s="18"/>
      <c r="E267" s="19"/>
      <c r="F267" s="19"/>
    </row>
    <row r="268">
      <c r="B268" s="26"/>
      <c r="D268" s="18"/>
      <c r="E268" s="19"/>
      <c r="F268" s="19"/>
    </row>
    <row r="269">
      <c r="B269" s="26"/>
      <c r="D269" s="18"/>
      <c r="E269" s="19"/>
      <c r="F269" s="19"/>
    </row>
    <row r="270">
      <c r="B270" s="26"/>
      <c r="D270" s="18"/>
      <c r="E270" s="19"/>
      <c r="F270" s="19"/>
    </row>
    <row r="271">
      <c r="B271" s="26"/>
      <c r="D271" s="18"/>
      <c r="E271" s="19"/>
      <c r="F271" s="19"/>
    </row>
    <row r="272">
      <c r="B272" s="26"/>
      <c r="D272" s="18"/>
      <c r="E272" s="19"/>
      <c r="F272" s="19"/>
    </row>
    <row r="273">
      <c r="B273" s="26"/>
      <c r="D273" s="18"/>
      <c r="E273" s="19"/>
      <c r="F273" s="19"/>
    </row>
    <row r="274">
      <c r="B274" s="26"/>
      <c r="D274" s="18"/>
      <c r="E274" s="19"/>
      <c r="F274" s="19"/>
    </row>
    <row r="275">
      <c r="B275" s="26"/>
      <c r="D275" s="18"/>
      <c r="E275" s="19"/>
      <c r="F275" s="19"/>
    </row>
    <row r="276">
      <c r="B276" s="26"/>
      <c r="D276" s="18"/>
      <c r="E276" s="19"/>
      <c r="F276" s="19"/>
    </row>
    <row r="277">
      <c r="B277" s="26"/>
      <c r="D277" s="18"/>
      <c r="E277" s="19"/>
      <c r="F277" s="19"/>
    </row>
    <row r="278">
      <c r="B278" s="26"/>
      <c r="D278" s="18"/>
      <c r="E278" s="19"/>
      <c r="F278" s="19"/>
    </row>
    <row r="279">
      <c r="B279" s="26"/>
      <c r="D279" s="18"/>
      <c r="E279" s="19"/>
      <c r="F279" s="19"/>
    </row>
    <row r="280">
      <c r="B280" s="26"/>
      <c r="D280" s="18"/>
      <c r="E280" s="19"/>
      <c r="F280" s="19"/>
    </row>
    <row r="281">
      <c r="B281" s="26"/>
      <c r="D281" s="18"/>
      <c r="E281" s="19"/>
      <c r="F281" s="19"/>
    </row>
    <row r="282">
      <c r="B282" s="26"/>
      <c r="D282" s="18"/>
      <c r="E282" s="19"/>
      <c r="F282" s="19"/>
    </row>
    <row r="283">
      <c r="B283" s="26"/>
      <c r="D283" s="18"/>
      <c r="E283" s="19"/>
      <c r="F283" s="19"/>
    </row>
    <row r="284">
      <c r="B284" s="26"/>
      <c r="D284" s="18"/>
      <c r="E284" s="19"/>
      <c r="F284" s="19"/>
    </row>
    <row r="285">
      <c r="B285" s="26"/>
      <c r="D285" s="18"/>
      <c r="E285" s="19"/>
      <c r="F285" s="19"/>
    </row>
    <row r="286">
      <c r="B286" s="26"/>
      <c r="D286" s="18"/>
      <c r="E286" s="19"/>
      <c r="F286" s="19"/>
    </row>
    <row r="287">
      <c r="B287" s="26"/>
      <c r="D287" s="18"/>
      <c r="E287" s="19"/>
      <c r="F287" s="19"/>
    </row>
    <row r="288">
      <c r="B288" s="26"/>
      <c r="D288" s="18"/>
      <c r="E288" s="19"/>
      <c r="F288" s="19"/>
    </row>
    <row r="289">
      <c r="B289" s="26"/>
      <c r="D289" s="18"/>
      <c r="E289" s="19"/>
      <c r="F289" s="19"/>
    </row>
    <row r="290">
      <c r="B290" s="26"/>
      <c r="D290" s="18"/>
      <c r="E290" s="19"/>
      <c r="F290" s="19"/>
    </row>
    <row r="291">
      <c r="B291" s="26"/>
      <c r="D291" s="18"/>
      <c r="E291" s="19"/>
      <c r="F291" s="19"/>
    </row>
    <row r="292">
      <c r="B292" s="26"/>
      <c r="D292" s="18"/>
      <c r="E292" s="19"/>
      <c r="F292" s="19"/>
    </row>
    <row r="293">
      <c r="B293" s="26"/>
      <c r="D293" s="18"/>
      <c r="E293" s="19"/>
      <c r="F293" s="19"/>
    </row>
    <row r="294">
      <c r="B294" s="26"/>
      <c r="D294" s="18"/>
      <c r="E294" s="19"/>
      <c r="F294" s="19"/>
    </row>
    <row r="295">
      <c r="B295" s="26"/>
      <c r="D295" s="18"/>
      <c r="E295" s="19"/>
      <c r="F295" s="19"/>
    </row>
    <row r="296">
      <c r="B296" s="26"/>
      <c r="D296" s="18"/>
      <c r="E296" s="19"/>
      <c r="F296" s="19"/>
    </row>
    <row r="297">
      <c r="B297" s="26"/>
      <c r="D297" s="18"/>
      <c r="E297" s="19"/>
      <c r="F297" s="19"/>
    </row>
    <row r="298">
      <c r="B298" s="26"/>
      <c r="D298" s="18"/>
      <c r="E298" s="19"/>
      <c r="F298" s="19"/>
    </row>
    <row r="299">
      <c r="B299" s="26"/>
      <c r="D299" s="18"/>
      <c r="E299" s="19"/>
      <c r="F299" s="19"/>
    </row>
    <row r="300">
      <c r="B300" s="26"/>
      <c r="D300" s="18"/>
      <c r="E300" s="19"/>
      <c r="F300" s="19"/>
    </row>
    <row r="301">
      <c r="B301" s="26"/>
      <c r="D301" s="18"/>
      <c r="E301" s="19"/>
      <c r="F301" s="19"/>
    </row>
    <row r="302">
      <c r="B302" s="26"/>
      <c r="D302" s="18"/>
      <c r="E302" s="19"/>
      <c r="F302" s="19"/>
    </row>
    <row r="303">
      <c r="B303" s="26"/>
      <c r="D303" s="18"/>
      <c r="E303" s="19"/>
      <c r="F303" s="19"/>
    </row>
    <row r="304">
      <c r="B304" s="26"/>
      <c r="D304" s="18"/>
      <c r="E304" s="19"/>
      <c r="F304" s="19"/>
    </row>
    <row r="305">
      <c r="B305" s="26"/>
      <c r="D305" s="18"/>
      <c r="E305" s="19"/>
      <c r="F305" s="19"/>
    </row>
    <row r="306">
      <c r="B306" s="26"/>
      <c r="D306" s="18"/>
      <c r="E306" s="19"/>
      <c r="F306" s="19"/>
    </row>
    <row r="307">
      <c r="B307" s="26"/>
      <c r="D307" s="18"/>
      <c r="E307" s="19"/>
      <c r="F307" s="19"/>
    </row>
    <row r="308">
      <c r="B308" s="26"/>
      <c r="D308" s="18"/>
      <c r="E308" s="19"/>
      <c r="F308" s="19"/>
    </row>
    <row r="309">
      <c r="B309" s="26"/>
      <c r="D309" s="18"/>
      <c r="E309" s="19"/>
      <c r="F309" s="19"/>
    </row>
    <row r="310">
      <c r="B310" s="26"/>
      <c r="D310" s="18"/>
      <c r="E310" s="19"/>
      <c r="F310" s="19"/>
    </row>
    <row r="311">
      <c r="B311" s="26"/>
      <c r="D311" s="18"/>
      <c r="E311" s="19"/>
      <c r="F311" s="19"/>
    </row>
    <row r="312">
      <c r="B312" s="26"/>
      <c r="D312" s="18"/>
      <c r="E312" s="19"/>
      <c r="F312" s="19"/>
    </row>
    <row r="313">
      <c r="B313" s="26"/>
      <c r="D313" s="18"/>
      <c r="E313" s="19"/>
      <c r="F313" s="19"/>
    </row>
    <row r="314">
      <c r="B314" s="26"/>
      <c r="D314" s="18"/>
      <c r="E314" s="19"/>
      <c r="F314" s="19"/>
    </row>
    <row r="315">
      <c r="B315" s="26"/>
      <c r="D315" s="18"/>
      <c r="E315" s="19"/>
      <c r="F315" s="19"/>
    </row>
    <row r="316">
      <c r="B316" s="26"/>
      <c r="D316" s="18"/>
      <c r="E316" s="19"/>
      <c r="F316" s="19"/>
    </row>
    <row r="317">
      <c r="B317" s="26"/>
      <c r="D317" s="18"/>
      <c r="E317" s="19"/>
      <c r="F317" s="19"/>
    </row>
    <row r="318">
      <c r="B318" s="26"/>
      <c r="D318" s="18"/>
      <c r="E318" s="19"/>
      <c r="F318" s="19"/>
    </row>
    <row r="319">
      <c r="B319" s="26"/>
      <c r="D319" s="18"/>
      <c r="E319" s="19"/>
      <c r="F319" s="19"/>
    </row>
    <row r="320">
      <c r="B320" s="26"/>
      <c r="D320" s="18"/>
      <c r="E320" s="19"/>
      <c r="F320" s="19"/>
    </row>
    <row r="321">
      <c r="B321" s="26"/>
      <c r="D321" s="18"/>
      <c r="E321" s="19"/>
      <c r="F321" s="19"/>
    </row>
    <row r="322">
      <c r="B322" s="26"/>
      <c r="D322" s="18"/>
      <c r="E322" s="19"/>
      <c r="F322" s="19"/>
    </row>
    <row r="323">
      <c r="B323" s="26"/>
      <c r="D323" s="18"/>
      <c r="E323" s="19"/>
      <c r="F323" s="19"/>
    </row>
    <row r="324">
      <c r="B324" s="26"/>
      <c r="D324" s="18"/>
      <c r="E324" s="19"/>
      <c r="F324" s="19"/>
    </row>
    <row r="325">
      <c r="B325" s="26"/>
      <c r="D325" s="18"/>
      <c r="E325" s="19"/>
      <c r="F325" s="19"/>
    </row>
    <row r="326">
      <c r="B326" s="26"/>
      <c r="D326" s="18"/>
      <c r="E326" s="19"/>
      <c r="F326" s="19"/>
    </row>
    <row r="327">
      <c r="B327" s="26"/>
      <c r="D327" s="18"/>
      <c r="E327" s="19"/>
      <c r="F327" s="19"/>
    </row>
    <row r="328">
      <c r="B328" s="26"/>
      <c r="D328" s="18"/>
      <c r="E328" s="19"/>
      <c r="F328" s="19"/>
    </row>
    <row r="329">
      <c r="B329" s="26"/>
      <c r="D329" s="18"/>
      <c r="E329" s="19"/>
      <c r="F329" s="19"/>
    </row>
    <row r="330">
      <c r="B330" s="26"/>
      <c r="D330" s="18"/>
      <c r="E330" s="19"/>
      <c r="F330" s="19"/>
    </row>
    <row r="331">
      <c r="B331" s="26"/>
      <c r="D331" s="18"/>
      <c r="E331" s="19"/>
      <c r="F331" s="19"/>
    </row>
    <row r="332">
      <c r="B332" s="26"/>
      <c r="D332" s="18"/>
      <c r="E332" s="19"/>
      <c r="F332" s="19"/>
    </row>
    <row r="333">
      <c r="B333" s="26"/>
      <c r="D333" s="18"/>
      <c r="E333" s="19"/>
      <c r="F333" s="19"/>
    </row>
    <row r="334">
      <c r="B334" s="26"/>
      <c r="D334" s="18"/>
      <c r="E334" s="19"/>
      <c r="F334" s="19"/>
    </row>
    <row r="335">
      <c r="B335" s="26"/>
      <c r="D335" s="18"/>
      <c r="E335" s="19"/>
      <c r="F335" s="19"/>
    </row>
    <row r="336">
      <c r="B336" s="26"/>
      <c r="D336" s="18"/>
      <c r="E336" s="19"/>
      <c r="F336" s="19"/>
    </row>
    <row r="337">
      <c r="B337" s="26"/>
      <c r="D337" s="18"/>
      <c r="E337" s="19"/>
      <c r="F337" s="19"/>
    </row>
    <row r="338">
      <c r="B338" s="26"/>
      <c r="D338" s="18"/>
      <c r="E338" s="19"/>
      <c r="F338" s="19"/>
    </row>
    <row r="339">
      <c r="B339" s="26"/>
      <c r="D339" s="18"/>
      <c r="E339" s="19"/>
      <c r="F339" s="19"/>
    </row>
    <row r="340">
      <c r="B340" s="26"/>
      <c r="D340" s="18"/>
      <c r="E340" s="19"/>
      <c r="F340" s="19"/>
    </row>
    <row r="341">
      <c r="B341" s="26"/>
      <c r="D341" s="18"/>
      <c r="E341" s="19"/>
      <c r="F341" s="19"/>
    </row>
    <row r="342">
      <c r="B342" s="26"/>
      <c r="D342" s="18"/>
      <c r="E342" s="19"/>
      <c r="F342" s="19"/>
    </row>
    <row r="343">
      <c r="B343" s="26"/>
      <c r="D343" s="18"/>
      <c r="E343" s="19"/>
      <c r="F343" s="19"/>
    </row>
    <row r="344">
      <c r="B344" s="26"/>
      <c r="D344" s="18"/>
      <c r="E344" s="19"/>
      <c r="F344" s="19"/>
    </row>
    <row r="345">
      <c r="B345" s="26"/>
      <c r="D345" s="18"/>
      <c r="E345" s="19"/>
      <c r="F345" s="19"/>
    </row>
    <row r="346">
      <c r="B346" s="26"/>
      <c r="D346" s="18"/>
      <c r="E346" s="19"/>
      <c r="F346" s="19"/>
    </row>
    <row r="347">
      <c r="B347" s="26"/>
      <c r="D347" s="18"/>
      <c r="E347" s="19"/>
      <c r="F347" s="19"/>
    </row>
    <row r="348">
      <c r="B348" s="26"/>
      <c r="D348" s="18"/>
      <c r="E348" s="19"/>
      <c r="F348" s="19"/>
    </row>
    <row r="349">
      <c r="B349" s="26"/>
      <c r="D349" s="18"/>
      <c r="E349" s="19"/>
      <c r="F349" s="19"/>
    </row>
    <row r="350">
      <c r="B350" s="26"/>
      <c r="D350" s="18"/>
      <c r="E350" s="19"/>
      <c r="F350" s="19"/>
    </row>
    <row r="351">
      <c r="B351" s="26"/>
      <c r="D351" s="18"/>
      <c r="E351" s="19"/>
      <c r="F351" s="19"/>
    </row>
    <row r="352">
      <c r="B352" s="26"/>
      <c r="D352" s="18"/>
      <c r="E352" s="19"/>
      <c r="F352" s="19"/>
    </row>
    <row r="353">
      <c r="B353" s="26"/>
      <c r="D353" s="18"/>
      <c r="E353" s="19"/>
      <c r="F353" s="19"/>
    </row>
    <row r="354">
      <c r="B354" s="26"/>
      <c r="D354" s="18"/>
      <c r="E354" s="19"/>
      <c r="F354" s="19"/>
    </row>
    <row r="355">
      <c r="B355" s="26"/>
      <c r="D355" s="18"/>
      <c r="E355" s="19"/>
      <c r="F355" s="19"/>
    </row>
    <row r="356">
      <c r="B356" s="26"/>
      <c r="D356" s="18"/>
      <c r="E356" s="19"/>
      <c r="F356" s="19"/>
    </row>
    <row r="357">
      <c r="B357" s="26"/>
      <c r="D357" s="18"/>
      <c r="E357" s="19"/>
      <c r="F357" s="19"/>
    </row>
    <row r="358">
      <c r="B358" s="26"/>
      <c r="D358" s="18"/>
      <c r="E358" s="19"/>
      <c r="F358" s="19"/>
    </row>
    <row r="359">
      <c r="B359" s="26"/>
      <c r="D359" s="18"/>
      <c r="E359" s="19"/>
      <c r="F359" s="19"/>
    </row>
    <row r="360">
      <c r="B360" s="26"/>
      <c r="D360" s="18"/>
      <c r="E360" s="19"/>
      <c r="F360" s="19"/>
    </row>
    <row r="361">
      <c r="B361" s="26"/>
      <c r="D361" s="18"/>
      <c r="E361" s="19"/>
      <c r="F361" s="19"/>
    </row>
    <row r="362">
      <c r="B362" s="26"/>
      <c r="D362" s="18"/>
      <c r="E362" s="19"/>
      <c r="F362" s="19"/>
    </row>
    <row r="363">
      <c r="B363" s="26"/>
      <c r="D363" s="18"/>
      <c r="E363" s="19"/>
      <c r="F363" s="19"/>
    </row>
    <row r="364">
      <c r="B364" s="26"/>
      <c r="D364" s="18"/>
      <c r="E364" s="19"/>
      <c r="F364" s="19"/>
    </row>
    <row r="365">
      <c r="B365" s="26"/>
      <c r="D365" s="18"/>
      <c r="E365" s="19"/>
      <c r="F365" s="19"/>
    </row>
    <row r="366">
      <c r="B366" s="26"/>
      <c r="D366" s="18"/>
      <c r="E366" s="19"/>
      <c r="F366" s="19"/>
    </row>
    <row r="367">
      <c r="B367" s="26"/>
      <c r="D367" s="18"/>
      <c r="E367" s="19"/>
      <c r="F367" s="19"/>
    </row>
    <row r="368">
      <c r="B368" s="26"/>
      <c r="D368" s="18"/>
      <c r="E368" s="19"/>
      <c r="F368" s="19"/>
    </row>
    <row r="369">
      <c r="B369" s="26"/>
      <c r="D369" s="18"/>
      <c r="E369" s="19"/>
      <c r="F369" s="19"/>
    </row>
    <row r="370">
      <c r="B370" s="26"/>
      <c r="D370" s="18"/>
      <c r="E370" s="19"/>
      <c r="F370" s="19"/>
    </row>
    <row r="371">
      <c r="B371" s="26"/>
      <c r="D371" s="18"/>
      <c r="E371" s="19"/>
      <c r="F371" s="19"/>
    </row>
    <row r="372">
      <c r="B372" s="26"/>
      <c r="D372" s="18"/>
      <c r="E372" s="19"/>
      <c r="F372" s="19"/>
    </row>
    <row r="373">
      <c r="B373" s="26"/>
      <c r="D373" s="18"/>
      <c r="E373" s="19"/>
      <c r="F373" s="19"/>
    </row>
    <row r="374">
      <c r="B374" s="26"/>
      <c r="D374" s="18"/>
      <c r="E374" s="19"/>
      <c r="F374" s="19"/>
    </row>
    <row r="375">
      <c r="B375" s="26"/>
      <c r="D375" s="18"/>
      <c r="E375" s="19"/>
      <c r="F375" s="19"/>
    </row>
    <row r="376">
      <c r="B376" s="26"/>
      <c r="D376" s="18"/>
      <c r="E376" s="19"/>
      <c r="F376" s="19"/>
    </row>
    <row r="377">
      <c r="B377" s="26"/>
      <c r="D377" s="18"/>
      <c r="E377" s="19"/>
      <c r="F377" s="19"/>
    </row>
    <row r="378">
      <c r="B378" s="26"/>
      <c r="D378" s="18"/>
      <c r="E378" s="19"/>
      <c r="F378" s="19"/>
    </row>
    <row r="379">
      <c r="B379" s="26"/>
      <c r="D379" s="18"/>
      <c r="E379" s="19"/>
      <c r="F379" s="19"/>
    </row>
    <row r="380">
      <c r="B380" s="26"/>
      <c r="D380" s="18"/>
      <c r="E380" s="19"/>
      <c r="F380" s="19"/>
    </row>
    <row r="381">
      <c r="B381" s="26"/>
      <c r="D381" s="18"/>
      <c r="E381" s="19"/>
      <c r="F381" s="19"/>
    </row>
    <row r="382">
      <c r="B382" s="26"/>
      <c r="D382" s="18"/>
      <c r="E382" s="19"/>
      <c r="F382" s="19"/>
    </row>
    <row r="383">
      <c r="B383" s="26"/>
      <c r="D383" s="18"/>
      <c r="E383" s="19"/>
      <c r="F383" s="19"/>
    </row>
    <row r="384">
      <c r="B384" s="26"/>
      <c r="D384" s="18"/>
      <c r="E384" s="19"/>
      <c r="F384" s="19"/>
    </row>
    <row r="385">
      <c r="B385" s="26"/>
      <c r="D385" s="18"/>
      <c r="E385" s="19"/>
      <c r="F385" s="19"/>
    </row>
    <row r="386">
      <c r="B386" s="26"/>
      <c r="D386" s="18"/>
      <c r="E386" s="19"/>
      <c r="F386" s="19"/>
    </row>
    <row r="387">
      <c r="B387" s="26"/>
      <c r="D387" s="18"/>
      <c r="E387" s="19"/>
      <c r="F387" s="19"/>
    </row>
    <row r="388">
      <c r="B388" s="26"/>
      <c r="D388" s="18"/>
      <c r="E388" s="19"/>
      <c r="F388" s="19"/>
    </row>
    <row r="389">
      <c r="B389" s="26"/>
      <c r="D389" s="18"/>
      <c r="E389" s="19"/>
      <c r="F389" s="19"/>
    </row>
    <row r="390">
      <c r="B390" s="26"/>
      <c r="D390" s="18"/>
      <c r="E390" s="19"/>
      <c r="F390" s="19"/>
    </row>
    <row r="391">
      <c r="B391" s="26"/>
      <c r="D391" s="18"/>
      <c r="E391" s="19"/>
      <c r="F391" s="19"/>
    </row>
    <row r="392">
      <c r="B392" s="26"/>
      <c r="D392" s="18"/>
      <c r="E392" s="19"/>
      <c r="F392" s="19"/>
    </row>
    <row r="393">
      <c r="B393" s="26"/>
      <c r="D393" s="18"/>
      <c r="E393" s="19"/>
      <c r="F393" s="19"/>
    </row>
    <row r="394">
      <c r="B394" s="26"/>
      <c r="D394" s="18"/>
      <c r="E394" s="19"/>
      <c r="F394" s="19"/>
    </row>
    <row r="395">
      <c r="B395" s="26"/>
      <c r="D395" s="18"/>
      <c r="E395" s="19"/>
      <c r="F395" s="19"/>
    </row>
    <row r="396">
      <c r="B396" s="26"/>
      <c r="D396" s="18"/>
      <c r="E396" s="19"/>
      <c r="F396" s="19"/>
    </row>
    <row r="397">
      <c r="B397" s="26"/>
      <c r="D397" s="18"/>
      <c r="E397" s="19"/>
      <c r="F397" s="19"/>
    </row>
    <row r="398">
      <c r="B398" s="26"/>
      <c r="D398" s="18"/>
      <c r="E398" s="19"/>
      <c r="F398" s="19"/>
    </row>
    <row r="399">
      <c r="B399" s="26"/>
      <c r="D399" s="18"/>
      <c r="E399" s="19"/>
      <c r="F399" s="19"/>
    </row>
    <row r="400">
      <c r="B400" s="26"/>
      <c r="D400" s="18"/>
      <c r="E400" s="19"/>
      <c r="F400" s="19"/>
    </row>
    <row r="401">
      <c r="B401" s="26"/>
      <c r="D401" s="18"/>
      <c r="E401" s="19"/>
      <c r="F401" s="19"/>
    </row>
    <row r="402">
      <c r="B402" s="26"/>
      <c r="D402" s="18"/>
      <c r="E402" s="19"/>
      <c r="F402" s="19"/>
    </row>
    <row r="403">
      <c r="B403" s="26"/>
      <c r="D403" s="18"/>
      <c r="E403" s="19"/>
      <c r="F403" s="19"/>
    </row>
    <row r="404">
      <c r="B404" s="26"/>
      <c r="D404" s="18"/>
      <c r="E404" s="19"/>
      <c r="F404" s="19"/>
    </row>
    <row r="405">
      <c r="B405" s="26"/>
      <c r="D405" s="18"/>
      <c r="E405" s="19"/>
      <c r="F405" s="19"/>
    </row>
    <row r="406">
      <c r="B406" s="26"/>
      <c r="D406" s="18"/>
      <c r="E406" s="19"/>
      <c r="F406" s="19"/>
    </row>
    <row r="407">
      <c r="B407" s="26"/>
      <c r="D407" s="18"/>
      <c r="E407" s="19"/>
      <c r="F407" s="19"/>
    </row>
    <row r="408">
      <c r="B408" s="26"/>
      <c r="D408" s="18"/>
      <c r="E408" s="19"/>
      <c r="F408" s="19"/>
    </row>
    <row r="409">
      <c r="B409" s="26"/>
      <c r="D409" s="18"/>
      <c r="E409" s="19"/>
      <c r="F409" s="19"/>
    </row>
    <row r="410">
      <c r="B410" s="26"/>
      <c r="D410" s="18"/>
      <c r="E410" s="19"/>
      <c r="F410" s="19"/>
    </row>
    <row r="411">
      <c r="B411" s="26"/>
      <c r="D411" s="18"/>
      <c r="E411" s="19"/>
      <c r="F411" s="19"/>
    </row>
    <row r="412">
      <c r="B412" s="26"/>
      <c r="D412" s="18"/>
      <c r="E412" s="19"/>
      <c r="F412" s="19"/>
    </row>
    <row r="413">
      <c r="B413" s="26"/>
      <c r="D413" s="18"/>
      <c r="E413" s="19"/>
      <c r="F413" s="19"/>
    </row>
    <row r="414">
      <c r="B414" s="26"/>
      <c r="D414" s="18"/>
      <c r="E414" s="19"/>
      <c r="F414" s="19"/>
    </row>
    <row r="415">
      <c r="B415" s="26"/>
      <c r="D415" s="18"/>
      <c r="E415" s="19"/>
      <c r="F415" s="19"/>
    </row>
    <row r="416">
      <c r="B416" s="26"/>
      <c r="D416" s="18"/>
      <c r="E416" s="19"/>
      <c r="F416" s="19"/>
    </row>
    <row r="417">
      <c r="B417" s="26"/>
      <c r="D417" s="18"/>
      <c r="E417" s="19"/>
      <c r="F417" s="19"/>
    </row>
    <row r="418">
      <c r="B418" s="26"/>
      <c r="D418" s="18"/>
      <c r="E418" s="19"/>
      <c r="F418" s="19"/>
    </row>
    <row r="419">
      <c r="B419" s="26"/>
      <c r="D419" s="18"/>
      <c r="E419" s="19"/>
      <c r="F419" s="19"/>
    </row>
    <row r="420">
      <c r="B420" s="26"/>
      <c r="D420" s="18"/>
      <c r="E420" s="19"/>
      <c r="F420" s="19"/>
    </row>
    <row r="421">
      <c r="B421" s="26"/>
      <c r="D421" s="18"/>
      <c r="E421" s="19"/>
      <c r="F421" s="19"/>
    </row>
    <row r="422">
      <c r="B422" s="26"/>
      <c r="D422" s="18"/>
      <c r="E422" s="19"/>
      <c r="F422" s="19"/>
    </row>
    <row r="423">
      <c r="B423" s="26"/>
      <c r="D423" s="18"/>
      <c r="E423" s="19"/>
      <c r="F423" s="19"/>
    </row>
    <row r="424">
      <c r="B424" s="26"/>
      <c r="D424" s="18"/>
      <c r="E424" s="19"/>
      <c r="F424" s="19"/>
    </row>
    <row r="425">
      <c r="B425" s="26"/>
      <c r="D425" s="18"/>
      <c r="E425" s="19"/>
      <c r="F425" s="19"/>
    </row>
    <row r="426">
      <c r="B426" s="26"/>
      <c r="D426" s="18"/>
      <c r="E426" s="19"/>
      <c r="F426" s="19"/>
    </row>
    <row r="427">
      <c r="B427" s="26"/>
      <c r="D427" s="18"/>
      <c r="E427" s="19"/>
      <c r="F427" s="19"/>
    </row>
    <row r="428">
      <c r="B428" s="26"/>
      <c r="D428" s="18"/>
      <c r="E428" s="19"/>
      <c r="F428" s="19"/>
    </row>
    <row r="429">
      <c r="B429" s="26"/>
      <c r="D429" s="18"/>
      <c r="E429" s="19"/>
      <c r="F429" s="19"/>
    </row>
    <row r="430">
      <c r="B430" s="26"/>
      <c r="D430" s="18"/>
      <c r="E430" s="19"/>
      <c r="F430" s="19"/>
    </row>
    <row r="431">
      <c r="B431" s="26"/>
      <c r="D431" s="18"/>
      <c r="E431" s="19"/>
      <c r="F431" s="19"/>
    </row>
    <row r="432">
      <c r="B432" s="26"/>
      <c r="D432" s="18"/>
      <c r="E432" s="19"/>
      <c r="F432" s="19"/>
    </row>
    <row r="433">
      <c r="B433" s="26"/>
      <c r="D433" s="18"/>
      <c r="E433" s="19"/>
      <c r="F433" s="19"/>
    </row>
    <row r="434">
      <c r="B434" s="26"/>
      <c r="D434" s="18"/>
      <c r="E434" s="19"/>
      <c r="F434" s="19"/>
    </row>
    <row r="435">
      <c r="B435" s="26"/>
      <c r="D435" s="18"/>
      <c r="E435" s="19"/>
      <c r="F435" s="19"/>
    </row>
    <row r="436">
      <c r="B436" s="26"/>
      <c r="D436" s="18"/>
      <c r="E436" s="19"/>
      <c r="F436" s="19"/>
    </row>
    <row r="437">
      <c r="B437" s="26"/>
      <c r="D437" s="18"/>
      <c r="E437" s="19"/>
      <c r="F437" s="19"/>
    </row>
    <row r="438">
      <c r="B438" s="26"/>
      <c r="D438" s="18"/>
      <c r="E438" s="19"/>
      <c r="F438" s="19"/>
    </row>
    <row r="439">
      <c r="B439" s="26"/>
      <c r="D439" s="18"/>
      <c r="E439" s="19"/>
      <c r="F439" s="19"/>
    </row>
    <row r="440">
      <c r="B440" s="26"/>
      <c r="D440" s="18"/>
      <c r="E440" s="19"/>
      <c r="F440" s="19"/>
    </row>
    <row r="441">
      <c r="B441" s="26"/>
      <c r="D441" s="18"/>
      <c r="E441" s="19"/>
      <c r="F441" s="19"/>
    </row>
    <row r="442">
      <c r="B442" s="26"/>
      <c r="D442" s="18"/>
      <c r="E442" s="19"/>
      <c r="F442" s="19"/>
    </row>
    <row r="443">
      <c r="B443" s="26"/>
      <c r="D443" s="18"/>
      <c r="E443" s="19"/>
      <c r="F443" s="19"/>
    </row>
    <row r="444">
      <c r="B444" s="26"/>
      <c r="D444" s="18"/>
      <c r="E444" s="19"/>
      <c r="F444" s="19"/>
    </row>
    <row r="445">
      <c r="B445" s="26"/>
      <c r="D445" s="18"/>
      <c r="E445" s="19"/>
      <c r="F445" s="19"/>
    </row>
    <row r="446">
      <c r="B446" s="26"/>
      <c r="D446" s="18"/>
      <c r="E446" s="19"/>
      <c r="F446" s="19"/>
    </row>
    <row r="447">
      <c r="B447" s="26"/>
      <c r="D447" s="18"/>
      <c r="E447" s="19"/>
      <c r="F447" s="19"/>
    </row>
    <row r="448">
      <c r="B448" s="26"/>
      <c r="D448" s="18"/>
      <c r="E448" s="19"/>
      <c r="F448" s="19"/>
    </row>
    <row r="449">
      <c r="B449" s="26"/>
      <c r="D449" s="18"/>
      <c r="E449" s="19"/>
      <c r="F449" s="19"/>
    </row>
    <row r="450">
      <c r="B450" s="26"/>
      <c r="D450" s="18"/>
      <c r="E450" s="19"/>
      <c r="F450" s="19"/>
    </row>
    <row r="451">
      <c r="B451" s="26"/>
      <c r="D451" s="18"/>
      <c r="E451" s="19"/>
      <c r="F451" s="19"/>
    </row>
    <row r="452">
      <c r="B452" s="26"/>
      <c r="D452" s="18"/>
      <c r="E452" s="19"/>
      <c r="F452" s="19"/>
    </row>
    <row r="453">
      <c r="B453" s="26"/>
      <c r="D453" s="18"/>
      <c r="E453" s="19"/>
      <c r="F453" s="19"/>
    </row>
    <row r="454">
      <c r="B454" s="26"/>
      <c r="D454" s="18"/>
      <c r="E454" s="19"/>
      <c r="F454" s="19"/>
    </row>
    <row r="455">
      <c r="B455" s="26"/>
      <c r="D455" s="18"/>
      <c r="E455" s="19"/>
      <c r="F455" s="19"/>
    </row>
    <row r="456">
      <c r="B456" s="26"/>
      <c r="D456" s="18"/>
      <c r="E456" s="19"/>
      <c r="F456" s="19"/>
    </row>
    <row r="457">
      <c r="B457" s="26"/>
      <c r="D457" s="18"/>
      <c r="E457" s="19"/>
      <c r="F457" s="19"/>
    </row>
    <row r="458">
      <c r="B458" s="26"/>
      <c r="D458" s="18"/>
      <c r="E458" s="19"/>
      <c r="F458" s="19"/>
    </row>
    <row r="459">
      <c r="B459" s="26"/>
      <c r="D459" s="18"/>
      <c r="E459" s="19"/>
      <c r="F459" s="19"/>
    </row>
    <row r="460">
      <c r="B460" s="26"/>
      <c r="D460" s="18"/>
      <c r="E460" s="19"/>
      <c r="F460" s="19"/>
    </row>
    <row r="461">
      <c r="B461" s="26"/>
      <c r="D461" s="18"/>
      <c r="E461" s="19"/>
      <c r="F461" s="19"/>
    </row>
    <row r="462">
      <c r="B462" s="26"/>
      <c r="D462" s="18"/>
      <c r="E462" s="19"/>
      <c r="F462" s="19"/>
    </row>
    <row r="463">
      <c r="B463" s="26"/>
      <c r="D463" s="18"/>
      <c r="E463" s="19"/>
      <c r="F463" s="19"/>
    </row>
    <row r="464">
      <c r="B464" s="26"/>
      <c r="D464" s="18"/>
      <c r="E464" s="19"/>
      <c r="F464" s="19"/>
    </row>
    <row r="465">
      <c r="B465" s="26"/>
      <c r="D465" s="18"/>
      <c r="E465" s="19"/>
      <c r="F465" s="19"/>
    </row>
    <row r="466">
      <c r="B466" s="26"/>
      <c r="D466" s="18"/>
      <c r="E466" s="19"/>
      <c r="F466" s="19"/>
    </row>
    <row r="467">
      <c r="B467" s="26"/>
      <c r="D467" s="18"/>
      <c r="E467" s="19"/>
      <c r="F467" s="19"/>
    </row>
    <row r="468">
      <c r="B468" s="26"/>
      <c r="D468" s="18"/>
      <c r="E468" s="19"/>
      <c r="F468" s="19"/>
    </row>
    <row r="469">
      <c r="B469" s="26"/>
      <c r="D469" s="18"/>
      <c r="E469" s="19"/>
      <c r="F469" s="19"/>
    </row>
    <row r="470">
      <c r="B470" s="26"/>
      <c r="D470" s="18"/>
      <c r="E470" s="19"/>
      <c r="F470" s="19"/>
    </row>
    <row r="471">
      <c r="B471" s="26"/>
      <c r="D471" s="18"/>
      <c r="E471" s="19"/>
      <c r="F471" s="19"/>
    </row>
    <row r="472">
      <c r="B472" s="26"/>
      <c r="D472" s="18"/>
      <c r="E472" s="19"/>
      <c r="F472" s="19"/>
    </row>
    <row r="473">
      <c r="B473" s="26"/>
      <c r="D473" s="18"/>
      <c r="E473" s="19"/>
      <c r="F473" s="19"/>
    </row>
    <row r="474">
      <c r="B474" s="26"/>
      <c r="D474" s="18"/>
      <c r="E474" s="19"/>
      <c r="F474" s="19"/>
    </row>
    <row r="475">
      <c r="B475" s="26"/>
      <c r="D475" s="18"/>
      <c r="E475" s="19"/>
      <c r="F475" s="19"/>
    </row>
    <row r="476">
      <c r="B476" s="26"/>
      <c r="D476" s="18"/>
      <c r="E476" s="19"/>
      <c r="F476" s="19"/>
    </row>
    <row r="477">
      <c r="B477" s="26"/>
      <c r="D477" s="18"/>
      <c r="E477" s="19"/>
      <c r="F477" s="19"/>
    </row>
    <row r="478">
      <c r="B478" s="26"/>
      <c r="D478" s="18"/>
      <c r="E478" s="19"/>
      <c r="F478" s="19"/>
    </row>
    <row r="479">
      <c r="B479" s="26"/>
      <c r="D479" s="18"/>
      <c r="E479" s="19"/>
      <c r="F479" s="19"/>
    </row>
    <row r="480">
      <c r="B480" s="26"/>
      <c r="D480" s="18"/>
      <c r="E480" s="19"/>
      <c r="F480" s="19"/>
    </row>
    <row r="481">
      <c r="B481" s="26"/>
      <c r="D481" s="18"/>
      <c r="E481" s="19"/>
      <c r="F481" s="19"/>
    </row>
    <row r="482">
      <c r="B482" s="26"/>
      <c r="D482" s="18"/>
      <c r="E482" s="19"/>
      <c r="F482" s="19"/>
    </row>
    <row r="483">
      <c r="B483" s="26"/>
      <c r="D483" s="18"/>
      <c r="E483" s="19"/>
      <c r="F483" s="19"/>
    </row>
    <row r="484">
      <c r="B484" s="26"/>
      <c r="D484" s="18"/>
      <c r="E484" s="19"/>
      <c r="F484" s="19"/>
    </row>
    <row r="485">
      <c r="B485" s="26"/>
      <c r="D485" s="18"/>
      <c r="E485" s="19"/>
      <c r="F485" s="19"/>
    </row>
    <row r="486">
      <c r="B486" s="26"/>
      <c r="D486" s="18"/>
      <c r="E486" s="19"/>
      <c r="F486" s="19"/>
    </row>
    <row r="487">
      <c r="B487" s="26"/>
      <c r="D487" s="18"/>
      <c r="E487" s="19"/>
      <c r="F487" s="19"/>
    </row>
    <row r="488">
      <c r="B488" s="26"/>
      <c r="D488" s="18"/>
      <c r="E488" s="19"/>
      <c r="F488" s="19"/>
    </row>
    <row r="489">
      <c r="B489" s="26"/>
      <c r="D489" s="18"/>
      <c r="E489" s="19"/>
      <c r="F489" s="19"/>
    </row>
    <row r="490">
      <c r="B490" s="26"/>
      <c r="D490" s="18"/>
      <c r="E490" s="19"/>
      <c r="F490" s="19"/>
    </row>
    <row r="491">
      <c r="B491" s="26"/>
      <c r="D491" s="18"/>
      <c r="E491" s="19"/>
      <c r="F491" s="19"/>
    </row>
    <row r="492">
      <c r="B492" s="26"/>
      <c r="D492" s="18"/>
      <c r="E492" s="19"/>
      <c r="F492" s="19"/>
    </row>
    <row r="493">
      <c r="B493" s="26"/>
      <c r="D493" s="18"/>
      <c r="E493" s="19"/>
      <c r="F493" s="19"/>
    </row>
    <row r="494">
      <c r="B494" s="26"/>
      <c r="D494" s="18"/>
      <c r="E494" s="19"/>
      <c r="F494" s="19"/>
    </row>
    <row r="495">
      <c r="B495" s="26"/>
      <c r="D495" s="18"/>
      <c r="E495" s="19"/>
      <c r="F495" s="19"/>
    </row>
    <row r="496">
      <c r="B496" s="26"/>
      <c r="D496" s="18"/>
      <c r="E496" s="19"/>
      <c r="F496" s="19"/>
    </row>
    <row r="497">
      <c r="B497" s="26"/>
      <c r="D497" s="18"/>
      <c r="E497" s="19"/>
      <c r="F497" s="19"/>
    </row>
    <row r="498">
      <c r="B498" s="26"/>
      <c r="D498" s="18"/>
      <c r="E498" s="19"/>
      <c r="F498" s="19"/>
    </row>
    <row r="499">
      <c r="B499" s="26"/>
      <c r="D499" s="18"/>
      <c r="E499" s="19"/>
      <c r="F499" s="19"/>
    </row>
    <row r="500">
      <c r="B500" s="26"/>
      <c r="D500" s="18"/>
      <c r="E500" s="19"/>
      <c r="F500" s="19"/>
    </row>
    <row r="501">
      <c r="B501" s="26"/>
      <c r="D501" s="18"/>
      <c r="E501" s="19"/>
      <c r="F501" s="19"/>
    </row>
    <row r="502">
      <c r="B502" s="26"/>
      <c r="D502" s="18"/>
      <c r="E502" s="19"/>
      <c r="F502" s="19"/>
    </row>
    <row r="503">
      <c r="B503" s="26"/>
      <c r="D503" s="18"/>
      <c r="E503" s="19"/>
      <c r="F503" s="19"/>
    </row>
    <row r="504">
      <c r="B504" s="26"/>
      <c r="D504" s="18"/>
      <c r="E504" s="19"/>
      <c r="F504" s="19"/>
    </row>
    <row r="505">
      <c r="B505" s="26"/>
      <c r="D505" s="18"/>
      <c r="E505" s="19"/>
      <c r="F505" s="19"/>
    </row>
    <row r="506">
      <c r="B506" s="26"/>
      <c r="D506" s="18"/>
      <c r="E506" s="19"/>
      <c r="F506" s="19"/>
    </row>
    <row r="507">
      <c r="B507" s="26"/>
      <c r="D507" s="18"/>
      <c r="E507" s="19"/>
      <c r="F507" s="19"/>
    </row>
    <row r="508">
      <c r="B508" s="26"/>
      <c r="D508" s="18"/>
      <c r="E508" s="19"/>
      <c r="F508" s="19"/>
    </row>
    <row r="509">
      <c r="B509" s="26"/>
      <c r="D509" s="18"/>
      <c r="E509" s="19"/>
      <c r="F509" s="19"/>
    </row>
    <row r="510">
      <c r="B510" s="26"/>
      <c r="D510" s="18"/>
      <c r="E510" s="19"/>
      <c r="F510" s="19"/>
    </row>
    <row r="511">
      <c r="B511" s="26"/>
      <c r="D511" s="18"/>
      <c r="E511" s="19"/>
      <c r="F511" s="19"/>
    </row>
    <row r="512">
      <c r="B512" s="26"/>
      <c r="D512" s="18"/>
      <c r="E512" s="19"/>
      <c r="F512" s="19"/>
    </row>
    <row r="513">
      <c r="B513" s="26"/>
      <c r="D513" s="18"/>
      <c r="E513" s="19"/>
      <c r="F513" s="19"/>
    </row>
    <row r="514">
      <c r="B514" s="26"/>
      <c r="D514" s="18"/>
      <c r="E514" s="19"/>
      <c r="F514" s="19"/>
    </row>
    <row r="515">
      <c r="B515" s="26"/>
      <c r="D515" s="18"/>
      <c r="E515" s="19"/>
      <c r="F515" s="19"/>
    </row>
    <row r="516">
      <c r="B516" s="26"/>
      <c r="D516" s="18"/>
      <c r="E516" s="19"/>
      <c r="F516" s="19"/>
    </row>
    <row r="517">
      <c r="B517" s="26"/>
      <c r="D517" s="18"/>
      <c r="E517" s="19"/>
      <c r="F517" s="19"/>
    </row>
    <row r="518">
      <c r="B518" s="26"/>
      <c r="D518" s="18"/>
      <c r="E518" s="19"/>
      <c r="F518" s="19"/>
    </row>
    <row r="519">
      <c r="B519" s="26"/>
      <c r="D519" s="18"/>
      <c r="E519" s="19"/>
      <c r="F519" s="19"/>
    </row>
    <row r="520">
      <c r="B520" s="26"/>
      <c r="D520" s="18"/>
      <c r="E520" s="19"/>
      <c r="F520" s="19"/>
    </row>
    <row r="521">
      <c r="B521" s="26"/>
      <c r="D521" s="18"/>
      <c r="E521" s="19"/>
      <c r="F521" s="19"/>
    </row>
    <row r="522">
      <c r="B522" s="26"/>
      <c r="D522" s="18"/>
      <c r="E522" s="19"/>
      <c r="F522" s="19"/>
    </row>
    <row r="523">
      <c r="B523" s="26"/>
      <c r="D523" s="18"/>
      <c r="E523" s="19"/>
      <c r="F523" s="19"/>
    </row>
    <row r="524">
      <c r="B524" s="26"/>
      <c r="D524" s="18"/>
      <c r="E524" s="19"/>
      <c r="F524" s="19"/>
    </row>
    <row r="525">
      <c r="B525" s="26"/>
      <c r="D525" s="18"/>
      <c r="E525" s="19"/>
      <c r="F525" s="19"/>
    </row>
    <row r="526">
      <c r="B526" s="26"/>
      <c r="D526" s="18"/>
      <c r="E526" s="19"/>
      <c r="F526" s="19"/>
    </row>
    <row r="527">
      <c r="B527" s="26"/>
      <c r="D527" s="18"/>
      <c r="E527" s="19"/>
      <c r="F527" s="19"/>
    </row>
    <row r="528">
      <c r="B528" s="26"/>
      <c r="D528" s="18"/>
      <c r="E528" s="19"/>
      <c r="F528" s="19"/>
    </row>
    <row r="529">
      <c r="B529" s="26"/>
      <c r="D529" s="18"/>
      <c r="E529" s="19"/>
      <c r="F529" s="19"/>
    </row>
    <row r="530">
      <c r="B530" s="26"/>
      <c r="D530" s="18"/>
      <c r="E530" s="19"/>
      <c r="F530" s="19"/>
    </row>
    <row r="531">
      <c r="B531" s="26"/>
      <c r="D531" s="18"/>
      <c r="E531" s="19"/>
      <c r="F531" s="19"/>
    </row>
    <row r="532">
      <c r="B532" s="26"/>
      <c r="D532" s="18"/>
      <c r="E532" s="19"/>
      <c r="F532" s="19"/>
    </row>
    <row r="533">
      <c r="B533" s="26"/>
      <c r="D533" s="18"/>
      <c r="E533" s="19"/>
      <c r="F533" s="19"/>
    </row>
    <row r="534">
      <c r="B534" s="26"/>
      <c r="D534" s="18"/>
      <c r="E534" s="19"/>
      <c r="F534" s="19"/>
    </row>
    <row r="535">
      <c r="B535" s="26"/>
      <c r="D535" s="18"/>
      <c r="E535" s="19"/>
      <c r="F535" s="19"/>
    </row>
    <row r="536">
      <c r="B536" s="26"/>
      <c r="D536" s="18"/>
      <c r="E536" s="19"/>
      <c r="F536" s="19"/>
    </row>
    <row r="537">
      <c r="B537" s="26"/>
      <c r="D537" s="18"/>
      <c r="E537" s="19"/>
      <c r="F537" s="19"/>
    </row>
    <row r="538">
      <c r="B538" s="26"/>
      <c r="D538" s="18"/>
      <c r="E538" s="19"/>
      <c r="F538" s="19"/>
    </row>
    <row r="539">
      <c r="B539" s="26"/>
      <c r="D539" s="18"/>
      <c r="E539" s="19"/>
      <c r="F539" s="19"/>
    </row>
    <row r="540">
      <c r="B540" s="26"/>
      <c r="D540" s="18"/>
      <c r="E540" s="19"/>
      <c r="F540" s="19"/>
    </row>
    <row r="541">
      <c r="B541" s="26"/>
      <c r="D541" s="18"/>
      <c r="E541" s="19"/>
      <c r="F541" s="19"/>
    </row>
    <row r="542">
      <c r="B542" s="26"/>
      <c r="D542" s="18"/>
      <c r="E542" s="19"/>
      <c r="F542" s="19"/>
    </row>
    <row r="543">
      <c r="B543" s="26"/>
      <c r="D543" s="18"/>
      <c r="E543" s="19"/>
      <c r="F543" s="19"/>
    </row>
    <row r="544">
      <c r="B544" s="26"/>
      <c r="D544" s="18"/>
      <c r="E544" s="19"/>
      <c r="F544" s="19"/>
    </row>
    <row r="545">
      <c r="B545" s="26"/>
      <c r="D545" s="18"/>
      <c r="E545" s="19"/>
      <c r="F545" s="19"/>
    </row>
    <row r="546">
      <c r="B546" s="26"/>
      <c r="D546" s="18"/>
      <c r="E546" s="19"/>
      <c r="F546" s="19"/>
    </row>
    <row r="547">
      <c r="B547" s="26"/>
      <c r="D547" s="18"/>
      <c r="E547" s="19"/>
      <c r="F547" s="19"/>
    </row>
    <row r="548">
      <c r="B548" s="26"/>
      <c r="D548" s="18"/>
      <c r="E548" s="19"/>
      <c r="F548" s="19"/>
    </row>
    <row r="549">
      <c r="B549" s="26"/>
      <c r="D549" s="18"/>
      <c r="E549" s="19"/>
      <c r="F549" s="19"/>
    </row>
    <row r="550">
      <c r="B550" s="26"/>
      <c r="D550" s="18"/>
      <c r="E550" s="19"/>
      <c r="F550" s="19"/>
    </row>
    <row r="551">
      <c r="B551" s="26"/>
      <c r="D551" s="18"/>
      <c r="E551" s="19"/>
      <c r="F551" s="19"/>
    </row>
    <row r="552">
      <c r="B552" s="26"/>
      <c r="D552" s="18"/>
      <c r="E552" s="19"/>
      <c r="F552" s="19"/>
    </row>
    <row r="553">
      <c r="B553" s="26"/>
      <c r="D553" s="18"/>
      <c r="E553" s="19"/>
      <c r="F553" s="19"/>
    </row>
    <row r="554">
      <c r="B554" s="26"/>
      <c r="D554" s="18"/>
      <c r="E554" s="19"/>
      <c r="F554" s="19"/>
    </row>
    <row r="555">
      <c r="B555" s="26"/>
      <c r="D555" s="18"/>
      <c r="E555" s="19"/>
      <c r="F555" s="19"/>
    </row>
    <row r="556">
      <c r="B556" s="26"/>
      <c r="D556" s="18"/>
      <c r="E556" s="19"/>
      <c r="F556" s="19"/>
    </row>
    <row r="557">
      <c r="B557" s="26"/>
      <c r="D557" s="18"/>
      <c r="E557" s="19"/>
      <c r="F557" s="19"/>
    </row>
    <row r="558">
      <c r="B558" s="26"/>
      <c r="D558" s="18"/>
      <c r="E558" s="19"/>
      <c r="F558" s="19"/>
    </row>
    <row r="559">
      <c r="B559" s="26"/>
      <c r="D559" s="18"/>
      <c r="E559" s="19"/>
      <c r="F559" s="19"/>
    </row>
    <row r="560">
      <c r="B560" s="26"/>
      <c r="D560" s="18"/>
      <c r="E560" s="19"/>
      <c r="F560" s="19"/>
    </row>
    <row r="561">
      <c r="B561" s="26"/>
      <c r="D561" s="18"/>
      <c r="E561" s="19"/>
      <c r="F561" s="19"/>
    </row>
    <row r="562">
      <c r="B562" s="26"/>
      <c r="D562" s="18"/>
      <c r="E562" s="19"/>
      <c r="F562" s="19"/>
    </row>
    <row r="563">
      <c r="B563" s="26"/>
      <c r="D563" s="18"/>
      <c r="E563" s="19"/>
      <c r="F563" s="19"/>
    </row>
    <row r="564">
      <c r="B564" s="26"/>
      <c r="D564" s="18"/>
      <c r="E564" s="19"/>
      <c r="F564" s="19"/>
    </row>
    <row r="565">
      <c r="B565" s="26"/>
      <c r="D565" s="18"/>
      <c r="E565" s="19"/>
      <c r="F565" s="19"/>
    </row>
    <row r="566">
      <c r="B566" s="26"/>
      <c r="D566" s="18"/>
      <c r="E566" s="19"/>
      <c r="F566" s="19"/>
    </row>
    <row r="567">
      <c r="B567" s="26"/>
      <c r="D567" s="18"/>
      <c r="E567" s="19"/>
      <c r="F567" s="19"/>
    </row>
    <row r="568">
      <c r="B568" s="26"/>
      <c r="D568" s="18"/>
      <c r="E568" s="19"/>
      <c r="F568" s="19"/>
    </row>
    <row r="569">
      <c r="B569" s="26"/>
      <c r="D569" s="18"/>
      <c r="E569" s="19"/>
      <c r="F569" s="19"/>
    </row>
    <row r="570">
      <c r="B570" s="26"/>
      <c r="D570" s="18"/>
      <c r="E570" s="19"/>
      <c r="F570" s="19"/>
    </row>
    <row r="571">
      <c r="B571" s="26"/>
      <c r="D571" s="18"/>
      <c r="E571" s="19"/>
      <c r="F571" s="19"/>
    </row>
    <row r="572">
      <c r="B572" s="26"/>
      <c r="D572" s="18"/>
      <c r="E572" s="19"/>
      <c r="F572" s="19"/>
    </row>
    <row r="573">
      <c r="B573" s="26"/>
      <c r="D573" s="18"/>
      <c r="E573" s="19"/>
      <c r="F573" s="19"/>
    </row>
    <row r="574">
      <c r="B574" s="26"/>
      <c r="D574" s="18"/>
      <c r="E574" s="19"/>
      <c r="F574" s="19"/>
    </row>
    <row r="575">
      <c r="B575" s="26"/>
      <c r="D575" s="18"/>
      <c r="E575" s="19"/>
      <c r="F575" s="19"/>
    </row>
    <row r="576">
      <c r="B576" s="26"/>
      <c r="D576" s="18"/>
      <c r="E576" s="19"/>
      <c r="F576" s="19"/>
    </row>
    <row r="577">
      <c r="B577" s="26"/>
      <c r="D577" s="18"/>
      <c r="E577" s="19"/>
      <c r="F577" s="19"/>
    </row>
    <row r="578">
      <c r="B578" s="26"/>
      <c r="D578" s="18"/>
      <c r="E578" s="19"/>
      <c r="F578" s="19"/>
    </row>
    <row r="579">
      <c r="B579" s="26"/>
      <c r="D579" s="18"/>
      <c r="E579" s="19"/>
      <c r="F579" s="19"/>
    </row>
    <row r="580">
      <c r="B580" s="26"/>
      <c r="D580" s="18"/>
      <c r="E580" s="19"/>
      <c r="F580" s="19"/>
    </row>
    <row r="581">
      <c r="B581" s="26"/>
      <c r="D581" s="18"/>
      <c r="E581" s="19"/>
      <c r="F581" s="19"/>
    </row>
    <row r="582">
      <c r="B582" s="26"/>
      <c r="D582" s="18"/>
      <c r="E582" s="19"/>
      <c r="F582" s="19"/>
    </row>
    <row r="583">
      <c r="B583" s="26"/>
      <c r="D583" s="18"/>
      <c r="E583" s="19"/>
      <c r="F583" s="19"/>
    </row>
    <row r="584">
      <c r="B584" s="26"/>
      <c r="D584" s="18"/>
      <c r="E584" s="19"/>
      <c r="F584" s="19"/>
    </row>
    <row r="585">
      <c r="B585" s="26"/>
      <c r="D585" s="18"/>
      <c r="E585" s="19"/>
      <c r="F585" s="19"/>
    </row>
    <row r="586">
      <c r="B586" s="26"/>
      <c r="D586" s="18"/>
      <c r="E586" s="19"/>
      <c r="F586" s="19"/>
    </row>
    <row r="587">
      <c r="B587" s="26"/>
      <c r="D587" s="18"/>
      <c r="E587" s="19"/>
      <c r="F587" s="19"/>
    </row>
    <row r="588">
      <c r="B588" s="26"/>
      <c r="D588" s="18"/>
      <c r="E588" s="19"/>
      <c r="F588" s="19"/>
    </row>
    <row r="589">
      <c r="B589" s="26"/>
      <c r="D589" s="18"/>
      <c r="E589" s="19"/>
      <c r="F589" s="19"/>
    </row>
    <row r="590">
      <c r="B590" s="26"/>
      <c r="D590" s="18"/>
      <c r="E590" s="19"/>
      <c r="F590" s="19"/>
    </row>
    <row r="591">
      <c r="B591" s="26"/>
      <c r="D591" s="18"/>
      <c r="E591" s="19"/>
      <c r="F591" s="19"/>
    </row>
    <row r="592">
      <c r="B592" s="26"/>
      <c r="D592" s="18"/>
      <c r="E592" s="19"/>
      <c r="F592" s="19"/>
    </row>
    <row r="593">
      <c r="B593" s="26"/>
      <c r="D593" s="18"/>
      <c r="E593" s="19"/>
      <c r="F593" s="19"/>
    </row>
    <row r="594">
      <c r="B594" s="26"/>
      <c r="D594" s="18"/>
      <c r="E594" s="19"/>
      <c r="F594" s="19"/>
    </row>
    <row r="595">
      <c r="B595" s="26"/>
      <c r="D595" s="18"/>
      <c r="E595" s="19"/>
      <c r="F595" s="19"/>
    </row>
    <row r="596">
      <c r="B596" s="26"/>
      <c r="D596" s="18"/>
      <c r="E596" s="19"/>
      <c r="F596" s="19"/>
    </row>
    <row r="597">
      <c r="B597" s="26"/>
      <c r="D597" s="18"/>
      <c r="E597" s="19"/>
      <c r="F597" s="19"/>
    </row>
    <row r="598">
      <c r="B598" s="26"/>
      <c r="D598" s="18"/>
      <c r="E598" s="19"/>
      <c r="F598" s="19"/>
    </row>
    <row r="599">
      <c r="B599" s="26"/>
      <c r="D599" s="18"/>
      <c r="E599" s="19"/>
      <c r="F599" s="19"/>
    </row>
    <row r="600">
      <c r="B600" s="26"/>
      <c r="D600" s="18"/>
      <c r="E600" s="19"/>
      <c r="F600" s="19"/>
    </row>
    <row r="601">
      <c r="B601" s="26"/>
      <c r="D601" s="18"/>
      <c r="E601" s="19"/>
      <c r="F601" s="19"/>
    </row>
    <row r="602">
      <c r="B602" s="26"/>
      <c r="D602" s="18"/>
      <c r="E602" s="19"/>
      <c r="F602" s="19"/>
    </row>
    <row r="603">
      <c r="B603" s="26"/>
      <c r="D603" s="18"/>
      <c r="E603" s="19"/>
      <c r="F603" s="19"/>
    </row>
    <row r="604">
      <c r="B604" s="26"/>
      <c r="D604" s="18"/>
      <c r="E604" s="19"/>
      <c r="F604" s="19"/>
    </row>
    <row r="605">
      <c r="B605" s="26"/>
      <c r="D605" s="18"/>
      <c r="E605" s="19"/>
      <c r="F605" s="19"/>
    </row>
    <row r="606">
      <c r="B606" s="26"/>
      <c r="D606" s="18"/>
      <c r="E606" s="19"/>
      <c r="F606" s="19"/>
    </row>
    <row r="607">
      <c r="B607" s="26"/>
      <c r="D607" s="18"/>
      <c r="E607" s="19"/>
      <c r="F607" s="19"/>
    </row>
    <row r="608">
      <c r="B608" s="26"/>
      <c r="D608" s="18"/>
      <c r="E608" s="19"/>
      <c r="F608" s="19"/>
    </row>
    <row r="609">
      <c r="B609" s="26"/>
      <c r="D609" s="18"/>
      <c r="E609" s="19"/>
      <c r="F609" s="19"/>
    </row>
    <row r="610">
      <c r="B610" s="26"/>
      <c r="D610" s="18"/>
      <c r="E610" s="19"/>
      <c r="F610" s="19"/>
    </row>
    <row r="611">
      <c r="B611" s="26"/>
      <c r="D611" s="18"/>
      <c r="E611" s="19"/>
      <c r="F611" s="19"/>
    </row>
    <row r="612">
      <c r="B612" s="26"/>
      <c r="D612" s="18"/>
      <c r="E612" s="19"/>
      <c r="F612" s="19"/>
    </row>
    <row r="613">
      <c r="B613" s="26"/>
      <c r="D613" s="18"/>
      <c r="E613" s="19"/>
      <c r="F613" s="19"/>
    </row>
    <row r="614">
      <c r="B614" s="26"/>
      <c r="D614" s="18"/>
      <c r="E614" s="19"/>
      <c r="F614" s="19"/>
    </row>
    <row r="615">
      <c r="B615" s="26"/>
      <c r="D615" s="18"/>
      <c r="E615" s="19"/>
      <c r="F615" s="19"/>
    </row>
    <row r="616">
      <c r="B616" s="26"/>
      <c r="D616" s="18"/>
      <c r="E616" s="19"/>
      <c r="F616" s="19"/>
    </row>
    <row r="617">
      <c r="B617" s="26"/>
      <c r="D617" s="18"/>
      <c r="E617" s="19"/>
      <c r="F617" s="19"/>
    </row>
    <row r="618">
      <c r="B618" s="26"/>
      <c r="D618" s="18"/>
      <c r="E618" s="19"/>
      <c r="F618" s="19"/>
    </row>
    <row r="619">
      <c r="B619" s="26"/>
      <c r="D619" s="18"/>
      <c r="E619" s="19"/>
      <c r="F619" s="19"/>
    </row>
    <row r="620">
      <c r="B620" s="26"/>
      <c r="D620" s="18"/>
      <c r="E620" s="19"/>
      <c r="F620" s="19"/>
    </row>
    <row r="621">
      <c r="B621" s="26"/>
      <c r="D621" s="18"/>
      <c r="E621" s="19"/>
      <c r="F621" s="19"/>
    </row>
    <row r="622">
      <c r="B622" s="26"/>
      <c r="D622" s="18"/>
      <c r="E622" s="19"/>
      <c r="F622" s="19"/>
    </row>
    <row r="623">
      <c r="B623" s="26"/>
      <c r="D623" s="18"/>
      <c r="E623" s="19"/>
      <c r="F623" s="19"/>
    </row>
    <row r="624">
      <c r="B624" s="26"/>
      <c r="D624" s="18"/>
      <c r="E624" s="19"/>
      <c r="F624" s="19"/>
    </row>
    <row r="625">
      <c r="B625" s="26"/>
      <c r="D625" s="18"/>
      <c r="E625" s="19"/>
      <c r="F625" s="19"/>
    </row>
    <row r="626">
      <c r="B626" s="26"/>
      <c r="D626" s="18"/>
      <c r="E626" s="19"/>
      <c r="F626" s="19"/>
    </row>
    <row r="627">
      <c r="B627" s="26"/>
      <c r="D627" s="18"/>
      <c r="E627" s="19"/>
      <c r="F627" s="19"/>
    </row>
    <row r="628">
      <c r="B628" s="26"/>
      <c r="D628" s="18"/>
      <c r="E628" s="19"/>
      <c r="F628" s="19"/>
    </row>
    <row r="629">
      <c r="B629" s="26"/>
      <c r="D629" s="18"/>
      <c r="E629" s="19"/>
      <c r="F629" s="19"/>
    </row>
    <row r="630">
      <c r="B630" s="26"/>
      <c r="D630" s="18"/>
      <c r="E630" s="19"/>
      <c r="F630" s="19"/>
    </row>
    <row r="631">
      <c r="B631" s="26"/>
      <c r="D631" s="18"/>
      <c r="E631" s="19"/>
      <c r="F631" s="19"/>
    </row>
    <row r="632">
      <c r="B632" s="26"/>
      <c r="D632" s="18"/>
      <c r="E632" s="19"/>
      <c r="F632" s="19"/>
    </row>
    <row r="633">
      <c r="B633" s="26"/>
      <c r="D633" s="18"/>
      <c r="E633" s="19"/>
      <c r="F633" s="19"/>
    </row>
    <row r="634">
      <c r="B634" s="26"/>
      <c r="D634" s="18"/>
      <c r="E634" s="19"/>
      <c r="F634" s="19"/>
    </row>
    <row r="635">
      <c r="B635" s="26"/>
      <c r="D635" s="18"/>
      <c r="E635" s="19"/>
      <c r="F635" s="19"/>
    </row>
    <row r="636">
      <c r="B636" s="26"/>
      <c r="D636" s="18"/>
      <c r="E636" s="19"/>
      <c r="F636" s="19"/>
    </row>
    <row r="637">
      <c r="B637" s="26"/>
      <c r="D637" s="18"/>
      <c r="E637" s="19"/>
      <c r="F637" s="19"/>
    </row>
    <row r="638">
      <c r="B638" s="26"/>
      <c r="D638" s="18"/>
      <c r="E638" s="19"/>
      <c r="F638" s="19"/>
    </row>
    <row r="639">
      <c r="B639" s="26"/>
      <c r="D639" s="18"/>
      <c r="E639" s="19"/>
      <c r="F639" s="19"/>
    </row>
    <row r="640">
      <c r="B640" s="26"/>
      <c r="D640" s="18"/>
      <c r="E640" s="19"/>
      <c r="F640" s="19"/>
    </row>
    <row r="641">
      <c r="B641" s="26"/>
      <c r="D641" s="18"/>
      <c r="E641" s="19"/>
      <c r="F641" s="19"/>
    </row>
    <row r="642">
      <c r="B642" s="26"/>
      <c r="D642" s="18"/>
      <c r="E642" s="19"/>
      <c r="F642" s="19"/>
    </row>
    <row r="643">
      <c r="B643" s="26"/>
      <c r="D643" s="18"/>
      <c r="E643" s="19"/>
      <c r="F643" s="19"/>
    </row>
    <row r="644">
      <c r="B644" s="26"/>
      <c r="D644" s="18"/>
      <c r="E644" s="19"/>
      <c r="F644" s="19"/>
    </row>
    <row r="645">
      <c r="B645" s="26"/>
      <c r="D645" s="18"/>
      <c r="E645" s="19"/>
      <c r="F645" s="19"/>
    </row>
    <row r="646">
      <c r="B646" s="26"/>
      <c r="D646" s="18"/>
      <c r="E646" s="19"/>
      <c r="F646" s="19"/>
    </row>
    <row r="647">
      <c r="B647" s="26"/>
      <c r="D647" s="18"/>
      <c r="E647" s="19"/>
      <c r="F647" s="19"/>
    </row>
    <row r="648">
      <c r="B648" s="26"/>
      <c r="D648" s="18"/>
      <c r="E648" s="19"/>
      <c r="F648" s="19"/>
    </row>
    <row r="649">
      <c r="B649" s="26"/>
      <c r="D649" s="18"/>
      <c r="E649" s="19"/>
      <c r="F649" s="19"/>
    </row>
    <row r="650">
      <c r="B650" s="26"/>
      <c r="D650" s="18"/>
      <c r="E650" s="19"/>
      <c r="F650" s="19"/>
    </row>
    <row r="651">
      <c r="B651" s="26"/>
      <c r="D651" s="18"/>
      <c r="E651" s="19"/>
      <c r="F651" s="19"/>
    </row>
    <row r="652">
      <c r="B652" s="26"/>
      <c r="D652" s="18"/>
      <c r="E652" s="19"/>
      <c r="F652" s="19"/>
    </row>
    <row r="653">
      <c r="B653" s="26"/>
      <c r="D653" s="18"/>
      <c r="E653" s="19"/>
      <c r="F653" s="19"/>
    </row>
    <row r="654">
      <c r="B654" s="26"/>
      <c r="D654" s="18"/>
      <c r="E654" s="19"/>
      <c r="F654" s="19"/>
    </row>
    <row r="655">
      <c r="B655" s="26"/>
      <c r="D655" s="18"/>
      <c r="E655" s="19"/>
      <c r="F655" s="19"/>
    </row>
    <row r="656">
      <c r="B656" s="26"/>
      <c r="D656" s="18"/>
      <c r="E656" s="19"/>
      <c r="F656" s="19"/>
    </row>
    <row r="657">
      <c r="B657" s="26"/>
      <c r="D657" s="18"/>
      <c r="E657" s="19"/>
      <c r="F657" s="19"/>
    </row>
    <row r="658">
      <c r="B658" s="26"/>
      <c r="D658" s="18"/>
      <c r="E658" s="19"/>
      <c r="F658" s="19"/>
    </row>
    <row r="659">
      <c r="B659" s="26"/>
      <c r="D659" s="18"/>
      <c r="E659" s="19"/>
      <c r="F659" s="19"/>
    </row>
    <row r="660">
      <c r="B660" s="26"/>
      <c r="D660" s="18"/>
      <c r="E660" s="19"/>
      <c r="F660" s="19"/>
    </row>
    <row r="661">
      <c r="B661" s="26"/>
      <c r="D661" s="18"/>
      <c r="E661" s="19"/>
      <c r="F661" s="19"/>
    </row>
    <row r="662">
      <c r="B662" s="26"/>
      <c r="D662" s="18"/>
      <c r="E662" s="19"/>
      <c r="F662" s="19"/>
    </row>
    <row r="663">
      <c r="B663" s="26"/>
      <c r="D663" s="18"/>
      <c r="E663" s="19"/>
      <c r="F663" s="19"/>
    </row>
    <row r="664">
      <c r="B664" s="26"/>
      <c r="D664" s="18"/>
      <c r="E664" s="19"/>
      <c r="F664" s="19"/>
    </row>
    <row r="665">
      <c r="B665" s="26"/>
      <c r="D665" s="18"/>
      <c r="E665" s="19"/>
      <c r="F665" s="19"/>
    </row>
    <row r="666">
      <c r="B666" s="26"/>
      <c r="D666" s="18"/>
      <c r="E666" s="19"/>
      <c r="F666" s="19"/>
    </row>
    <row r="667">
      <c r="B667" s="26"/>
      <c r="D667" s="18"/>
      <c r="E667" s="19"/>
      <c r="F667" s="19"/>
    </row>
    <row r="668">
      <c r="B668" s="26"/>
      <c r="D668" s="18"/>
      <c r="E668" s="19"/>
      <c r="F668" s="19"/>
    </row>
    <row r="669">
      <c r="B669" s="26"/>
      <c r="D669" s="18"/>
      <c r="E669" s="19"/>
      <c r="F669" s="19"/>
    </row>
    <row r="670">
      <c r="B670" s="26"/>
      <c r="D670" s="18"/>
      <c r="E670" s="19"/>
      <c r="F670" s="19"/>
    </row>
    <row r="671">
      <c r="B671" s="26"/>
      <c r="D671" s="18"/>
      <c r="E671" s="19"/>
      <c r="F671" s="19"/>
    </row>
    <row r="672">
      <c r="B672" s="26"/>
      <c r="D672" s="18"/>
      <c r="E672" s="19"/>
      <c r="F672" s="19"/>
    </row>
    <row r="673">
      <c r="B673" s="26"/>
      <c r="D673" s="18"/>
      <c r="E673" s="19"/>
      <c r="F673" s="19"/>
    </row>
    <row r="674">
      <c r="B674" s="26"/>
      <c r="D674" s="18"/>
      <c r="E674" s="19"/>
      <c r="F674" s="19"/>
    </row>
    <row r="675">
      <c r="B675" s="26"/>
      <c r="D675" s="18"/>
      <c r="E675" s="19"/>
      <c r="F675" s="19"/>
    </row>
    <row r="676">
      <c r="B676" s="26"/>
      <c r="D676" s="18"/>
      <c r="E676" s="19"/>
      <c r="F676" s="19"/>
    </row>
    <row r="677">
      <c r="B677" s="26"/>
      <c r="D677" s="18"/>
      <c r="E677" s="19"/>
      <c r="F677" s="19"/>
    </row>
    <row r="678">
      <c r="B678" s="26"/>
      <c r="D678" s="18"/>
      <c r="E678" s="19"/>
      <c r="F678" s="19"/>
    </row>
    <row r="679">
      <c r="B679" s="26"/>
      <c r="D679" s="18"/>
      <c r="E679" s="19"/>
      <c r="F679" s="19"/>
    </row>
    <row r="680">
      <c r="B680" s="26"/>
      <c r="D680" s="18"/>
      <c r="E680" s="19"/>
      <c r="F680" s="19"/>
    </row>
    <row r="681">
      <c r="B681" s="26"/>
      <c r="D681" s="18"/>
      <c r="E681" s="19"/>
      <c r="F681" s="19"/>
    </row>
    <row r="682">
      <c r="B682" s="26"/>
      <c r="D682" s="18"/>
      <c r="E682" s="19"/>
      <c r="F682" s="19"/>
    </row>
    <row r="683">
      <c r="B683" s="26"/>
      <c r="D683" s="18"/>
      <c r="E683" s="19"/>
      <c r="F683" s="19"/>
    </row>
    <row r="684">
      <c r="B684" s="26"/>
      <c r="D684" s="18"/>
      <c r="E684" s="19"/>
      <c r="F684" s="19"/>
    </row>
    <row r="685">
      <c r="B685" s="26"/>
      <c r="D685" s="18"/>
      <c r="E685" s="19"/>
      <c r="F685" s="19"/>
    </row>
    <row r="686">
      <c r="B686" s="26"/>
      <c r="D686" s="18"/>
      <c r="E686" s="19"/>
      <c r="F686" s="19"/>
    </row>
    <row r="687">
      <c r="B687" s="26"/>
      <c r="D687" s="18"/>
      <c r="E687" s="19"/>
      <c r="F687" s="19"/>
    </row>
    <row r="688">
      <c r="B688" s="26"/>
      <c r="D688" s="18"/>
      <c r="E688" s="19"/>
      <c r="F688" s="19"/>
    </row>
    <row r="689">
      <c r="B689" s="26"/>
      <c r="D689" s="18"/>
      <c r="E689" s="19"/>
      <c r="F689" s="19"/>
    </row>
    <row r="690">
      <c r="B690" s="26"/>
      <c r="D690" s="18"/>
      <c r="E690" s="19"/>
      <c r="F690" s="19"/>
    </row>
    <row r="691">
      <c r="B691" s="26"/>
      <c r="D691" s="18"/>
      <c r="E691" s="19"/>
      <c r="F691" s="19"/>
    </row>
    <row r="692">
      <c r="B692" s="26"/>
      <c r="D692" s="18"/>
      <c r="E692" s="19"/>
      <c r="F692" s="19"/>
    </row>
    <row r="693">
      <c r="B693" s="26"/>
      <c r="D693" s="18"/>
      <c r="E693" s="19"/>
      <c r="F693" s="19"/>
    </row>
    <row r="694">
      <c r="B694" s="26"/>
      <c r="D694" s="18"/>
      <c r="E694" s="19"/>
      <c r="F694" s="19"/>
    </row>
    <row r="695">
      <c r="B695" s="26"/>
      <c r="D695" s="18"/>
      <c r="E695" s="19"/>
      <c r="F695" s="19"/>
    </row>
    <row r="696">
      <c r="B696" s="26"/>
      <c r="D696" s="18"/>
      <c r="E696" s="19"/>
      <c r="F696" s="19"/>
    </row>
    <row r="697">
      <c r="B697" s="26"/>
      <c r="D697" s="18"/>
      <c r="E697" s="19"/>
      <c r="F697" s="19"/>
    </row>
    <row r="698">
      <c r="B698" s="26"/>
      <c r="D698" s="18"/>
      <c r="E698" s="19"/>
      <c r="F698" s="19"/>
    </row>
    <row r="699">
      <c r="B699" s="26"/>
      <c r="D699" s="18"/>
      <c r="E699" s="19"/>
      <c r="F699" s="19"/>
    </row>
    <row r="700">
      <c r="B700" s="26"/>
      <c r="D700" s="18"/>
      <c r="E700" s="19"/>
      <c r="F700" s="19"/>
    </row>
    <row r="701">
      <c r="B701" s="26"/>
      <c r="D701" s="18"/>
      <c r="E701" s="19"/>
      <c r="F701" s="19"/>
    </row>
    <row r="702">
      <c r="B702" s="26"/>
      <c r="D702" s="18"/>
      <c r="E702" s="19"/>
      <c r="F702" s="19"/>
    </row>
    <row r="703">
      <c r="B703" s="26"/>
      <c r="D703" s="18"/>
      <c r="E703" s="19"/>
      <c r="F703" s="19"/>
    </row>
    <row r="704">
      <c r="B704" s="26"/>
      <c r="D704" s="18"/>
      <c r="E704" s="19"/>
      <c r="F704" s="19"/>
    </row>
    <row r="705">
      <c r="B705" s="26"/>
      <c r="D705" s="18"/>
      <c r="E705" s="19"/>
      <c r="F705" s="19"/>
    </row>
    <row r="706">
      <c r="B706" s="26"/>
      <c r="D706" s="18"/>
      <c r="E706" s="19"/>
      <c r="F706" s="19"/>
    </row>
    <row r="707">
      <c r="B707" s="26"/>
      <c r="D707" s="18"/>
      <c r="E707" s="19"/>
      <c r="F707" s="19"/>
    </row>
    <row r="708">
      <c r="B708" s="26"/>
      <c r="D708" s="18"/>
      <c r="E708" s="19"/>
      <c r="F708" s="19"/>
    </row>
    <row r="709">
      <c r="B709" s="26"/>
      <c r="D709" s="18"/>
      <c r="E709" s="19"/>
      <c r="F709" s="19"/>
    </row>
    <row r="710">
      <c r="B710" s="26"/>
      <c r="D710" s="18"/>
      <c r="E710" s="19"/>
      <c r="F710" s="19"/>
    </row>
    <row r="711">
      <c r="B711" s="26"/>
      <c r="D711" s="18"/>
      <c r="E711" s="19"/>
      <c r="F711" s="19"/>
    </row>
    <row r="712">
      <c r="B712" s="26"/>
      <c r="D712" s="18"/>
      <c r="E712" s="19"/>
      <c r="F712" s="19"/>
    </row>
    <row r="713">
      <c r="B713" s="26"/>
      <c r="D713" s="18"/>
      <c r="E713" s="19"/>
      <c r="F713" s="19"/>
    </row>
    <row r="714">
      <c r="B714" s="26"/>
      <c r="D714" s="18"/>
      <c r="E714" s="19"/>
      <c r="F714" s="19"/>
    </row>
    <row r="715">
      <c r="B715" s="26"/>
      <c r="D715" s="18"/>
      <c r="E715" s="19"/>
      <c r="F715" s="19"/>
    </row>
    <row r="716">
      <c r="B716" s="26"/>
      <c r="D716" s="18"/>
      <c r="E716" s="19"/>
      <c r="F716" s="19"/>
    </row>
    <row r="717">
      <c r="B717" s="26"/>
      <c r="D717" s="18"/>
      <c r="E717" s="19"/>
      <c r="F717" s="19"/>
    </row>
    <row r="718">
      <c r="B718" s="26"/>
      <c r="D718" s="18"/>
      <c r="E718" s="19"/>
      <c r="F718" s="19"/>
    </row>
    <row r="719">
      <c r="B719" s="26"/>
      <c r="D719" s="18"/>
      <c r="E719" s="19"/>
      <c r="F719" s="19"/>
    </row>
    <row r="720">
      <c r="B720" s="26"/>
      <c r="D720" s="18"/>
      <c r="E720" s="19"/>
      <c r="F720" s="19"/>
    </row>
    <row r="721">
      <c r="B721" s="26"/>
      <c r="D721" s="18"/>
      <c r="E721" s="19"/>
      <c r="F721" s="19"/>
    </row>
    <row r="722">
      <c r="B722" s="26"/>
      <c r="D722" s="18"/>
      <c r="E722" s="19"/>
      <c r="F722" s="19"/>
    </row>
    <row r="723">
      <c r="B723" s="26"/>
      <c r="D723" s="18"/>
      <c r="E723" s="19"/>
      <c r="F723" s="19"/>
    </row>
    <row r="724">
      <c r="B724" s="26"/>
      <c r="D724" s="18"/>
      <c r="E724" s="19"/>
      <c r="F724" s="19"/>
    </row>
    <row r="725">
      <c r="B725" s="26"/>
      <c r="D725" s="18"/>
      <c r="E725" s="19"/>
      <c r="F725" s="19"/>
    </row>
    <row r="726">
      <c r="B726" s="26"/>
      <c r="D726" s="18"/>
      <c r="E726" s="19"/>
      <c r="F726" s="19"/>
    </row>
    <row r="727">
      <c r="B727" s="26"/>
      <c r="D727" s="18"/>
      <c r="E727" s="19"/>
      <c r="F727" s="19"/>
    </row>
    <row r="728">
      <c r="B728" s="26"/>
      <c r="D728" s="18"/>
      <c r="E728" s="19"/>
      <c r="F728" s="19"/>
    </row>
    <row r="729">
      <c r="B729" s="26"/>
      <c r="D729" s="18"/>
      <c r="E729" s="19"/>
      <c r="F729" s="19"/>
    </row>
    <row r="730">
      <c r="B730" s="26"/>
      <c r="D730" s="18"/>
      <c r="E730" s="19"/>
      <c r="F730" s="19"/>
    </row>
    <row r="731">
      <c r="B731" s="26"/>
      <c r="D731" s="18"/>
      <c r="E731" s="19"/>
      <c r="F731" s="19"/>
    </row>
    <row r="732">
      <c r="B732" s="26"/>
      <c r="D732" s="18"/>
      <c r="E732" s="19"/>
      <c r="F732" s="19"/>
    </row>
    <row r="733">
      <c r="B733" s="26"/>
      <c r="D733" s="18"/>
      <c r="E733" s="19"/>
      <c r="F733" s="19"/>
    </row>
    <row r="734">
      <c r="B734" s="26"/>
      <c r="D734" s="18"/>
      <c r="E734" s="19"/>
      <c r="F734" s="19"/>
    </row>
    <row r="735">
      <c r="B735" s="26"/>
      <c r="D735" s="18"/>
      <c r="E735" s="19"/>
      <c r="F735" s="19"/>
    </row>
    <row r="736">
      <c r="B736" s="26"/>
      <c r="D736" s="18"/>
      <c r="E736" s="19"/>
      <c r="F736" s="19"/>
    </row>
    <row r="737">
      <c r="B737" s="26"/>
      <c r="D737" s="18"/>
      <c r="E737" s="19"/>
      <c r="F737" s="19"/>
    </row>
    <row r="738">
      <c r="B738" s="26"/>
      <c r="D738" s="18"/>
      <c r="E738" s="19"/>
      <c r="F738" s="19"/>
    </row>
    <row r="739">
      <c r="B739" s="26"/>
      <c r="D739" s="18"/>
      <c r="E739" s="19"/>
      <c r="F739" s="19"/>
    </row>
    <row r="740">
      <c r="B740" s="26"/>
      <c r="D740" s="18"/>
      <c r="E740" s="19"/>
      <c r="F740" s="19"/>
    </row>
    <row r="741">
      <c r="B741" s="26"/>
      <c r="D741" s="18"/>
      <c r="E741" s="19"/>
      <c r="F741" s="19"/>
    </row>
    <row r="742">
      <c r="B742" s="26"/>
      <c r="D742" s="18"/>
      <c r="E742" s="19"/>
      <c r="F742" s="19"/>
    </row>
    <row r="743">
      <c r="B743" s="26"/>
      <c r="D743" s="18"/>
      <c r="E743" s="19"/>
      <c r="F743" s="19"/>
    </row>
    <row r="744">
      <c r="B744" s="26"/>
      <c r="D744" s="18"/>
      <c r="E744" s="19"/>
      <c r="F744" s="19"/>
    </row>
    <row r="745">
      <c r="B745" s="26"/>
      <c r="D745" s="18"/>
      <c r="E745" s="19"/>
      <c r="F745" s="19"/>
    </row>
    <row r="746">
      <c r="B746" s="26"/>
      <c r="D746" s="18"/>
      <c r="E746" s="19"/>
      <c r="F746" s="19"/>
    </row>
    <row r="747">
      <c r="B747" s="26"/>
      <c r="D747" s="18"/>
      <c r="E747" s="19"/>
      <c r="F747" s="19"/>
    </row>
    <row r="748">
      <c r="B748" s="26"/>
      <c r="D748" s="18"/>
      <c r="E748" s="19"/>
      <c r="F748" s="19"/>
    </row>
    <row r="749">
      <c r="B749" s="26"/>
      <c r="D749" s="18"/>
      <c r="E749" s="19"/>
      <c r="F749" s="19"/>
    </row>
    <row r="750">
      <c r="B750" s="26"/>
      <c r="D750" s="18"/>
      <c r="E750" s="19"/>
      <c r="F750" s="19"/>
    </row>
    <row r="751">
      <c r="B751" s="26"/>
      <c r="D751" s="18"/>
      <c r="E751" s="19"/>
      <c r="F751" s="19"/>
    </row>
    <row r="752">
      <c r="B752" s="26"/>
      <c r="D752" s="18"/>
      <c r="E752" s="19"/>
      <c r="F752" s="19"/>
    </row>
    <row r="753">
      <c r="B753" s="26"/>
      <c r="D753" s="18"/>
      <c r="E753" s="19"/>
      <c r="F753" s="19"/>
    </row>
    <row r="754">
      <c r="B754" s="26"/>
      <c r="D754" s="18"/>
      <c r="E754" s="19"/>
      <c r="F754" s="19"/>
    </row>
    <row r="755">
      <c r="B755" s="26"/>
      <c r="D755" s="18"/>
      <c r="E755" s="19"/>
      <c r="F755" s="19"/>
    </row>
    <row r="756">
      <c r="B756" s="26"/>
      <c r="D756" s="18"/>
      <c r="E756" s="19"/>
      <c r="F756" s="19"/>
    </row>
    <row r="757">
      <c r="B757" s="26"/>
      <c r="D757" s="18"/>
      <c r="E757" s="19"/>
      <c r="F757" s="19"/>
    </row>
    <row r="758">
      <c r="B758" s="26"/>
      <c r="D758" s="18"/>
      <c r="E758" s="19"/>
      <c r="F758" s="19"/>
    </row>
    <row r="759">
      <c r="B759" s="26"/>
      <c r="D759" s="18"/>
      <c r="E759" s="19"/>
      <c r="F759" s="19"/>
    </row>
    <row r="760">
      <c r="B760" s="26"/>
      <c r="D760" s="18"/>
      <c r="E760" s="19"/>
      <c r="F760" s="19"/>
    </row>
    <row r="761">
      <c r="B761" s="26"/>
      <c r="D761" s="18"/>
      <c r="E761" s="19"/>
      <c r="F761" s="19"/>
    </row>
    <row r="762">
      <c r="B762" s="26"/>
      <c r="D762" s="18"/>
      <c r="E762" s="19"/>
      <c r="F762" s="19"/>
    </row>
    <row r="763">
      <c r="B763" s="26"/>
      <c r="D763" s="18"/>
      <c r="E763" s="19"/>
      <c r="F763" s="19"/>
    </row>
    <row r="764">
      <c r="B764" s="26"/>
      <c r="D764" s="18"/>
      <c r="E764" s="19"/>
      <c r="F764" s="19"/>
    </row>
    <row r="765">
      <c r="B765" s="26"/>
      <c r="D765" s="18"/>
      <c r="E765" s="19"/>
      <c r="F765" s="19"/>
    </row>
    <row r="766">
      <c r="B766" s="26"/>
      <c r="D766" s="18"/>
      <c r="E766" s="19"/>
      <c r="F766" s="19"/>
    </row>
    <row r="767">
      <c r="B767" s="26"/>
      <c r="D767" s="18"/>
      <c r="E767" s="19"/>
      <c r="F767" s="19"/>
    </row>
    <row r="768">
      <c r="B768" s="26"/>
      <c r="D768" s="18"/>
      <c r="E768" s="19"/>
      <c r="F768" s="19"/>
    </row>
    <row r="769">
      <c r="B769" s="26"/>
      <c r="D769" s="18"/>
      <c r="E769" s="19"/>
      <c r="F769" s="19"/>
    </row>
    <row r="770">
      <c r="B770" s="26"/>
      <c r="D770" s="18"/>
      <c r="E770" s="19"/>
      <c r="F770" s="19"/>
    </row>
    <row r="771">
      <c r="B771" s="26"/>
      <c r="D771" s="18"/>
      <c r="E771" s="19"/>
      <c r="F771" s="19"/>
    </row>
    <row r="772">
      <c r="B772" s="26"/>
      <c r="D772" s="18"/>
      <c r="E772" s="19"/>
      <c r="F772" s="19"/>
    </row>
    <row r="773">
      <c r="B773" s="26"/>
      <c r="D773" s="18"/>
      <c r="E773" s="19"/>
      <c r="F773" s="19"/>
    </row>
    <row r="774">
      <c r="B774" s="26"/>
      <c r="D774" s="18"/>
      <c r="E774" s="19"/>
      <c r="F774" s="19"/>
    </row>
    <row r="775">
      <c r="B775" s="26"/>
      <c r="D775" s="18"/>
      <c r="E775" s="19"/>
      <c r="F775" s="19"/>
    </row>
    <row r="776">
      <c r="B776" s="26"/>
      <c r="D776" s="18"/>
      <c r="E776" s="19"/>
      <c r="F776" s="19"/>
    </row>
    <row r="777">
      <c r="B777" s="26"/>
      <c r="D777" s="18"/>
      <c r="E777" s="19"/>
      <c r="F777" s="19"/>
    </row>
    <row r="778">
      <c r="B778" s="26"/>
      <c r="D778" s="18"/>
      <c r="E778" s="19"/>
      <c r="F778" s="19"/>
    </row>
    <row r="779">
      <c r="B779" s="26"/>
      <c r="D779" s="18"/>
      <c r="E779" s="19"/>
      <c r="F779" s="19"/>
    </row>
    <row r="780">
      <c r="B780" s="26"/>
      <c r="D780" s="18"/>
      <c r="E780" s="19"/>
      <c r="F780" s="19"/>
    </row>
    <row r="781">
      <c r="B781" s="26"/>
      <c r="D781" s="18"/>
      <c r="E781" s="19"/>
      <c r="F781" s="19"/>
    </row>
    <row r="782">
      <c r="B782" s="26"/>
      <c r="D782" s="18"/>
      <c r="E782" s="19"/>
      <c r="F782" s="19"/>
    </row>
    <row r="783">
      <c r="B783" s="26"/>
      <c r="D783" s="18"/>
      <c r="E783" s="19"/>
      <c r="F783" s="19"/>
    </row>
    <row r="784">
      <c r="B784" s="26"/>
      <c r="D784" s="18"/>
      <c r="E784" s="19"/>
      <c r="F784" s="19"/>
    </row>
    <row r="785">
      <c r="B785" s="26"/>
      <c r="D785" s="18"/>
      <c r="E785" s="19"/>
      <c r="F785" s="19"/>
    </row>
    <row r="786">
      <c r="B786" s="26"/>
      <c r="D786" s="18"/>
      <c r="E786" s="19"/>
      <c r="F786" s="19"/>
    </row>
    <row r="787">
      <c r="B787" s="26"/>
      <c r="D787" s="18"/>
      <c r="E787" s="19"/>
      <c r="F787" s="19"/>
    </row>
    <row r="788">
      <c r="B788" s="26"/>
      <c r="D788" s="18"/>
      <c r="E788" s="19"/>
      <c r="F788" s="19"/>
    </row>
    <row r="789">
      <c r="B789" s="26"/>
      <c r="D789" s="18"/>
      <c r="E789" s="19"/>
      <c r="F789" s="19"/>
    </row>
    <row r="790">
      <c r="B790" s="26"/>
      <c r="D790" s="18"/>
      <c r="E790" s="19"/>
      <c r="F790" s="19"/>
    </row>
    <row r="791">
      <c r="B791" s="26"/>
      <c r="D791" s="18"/>
      <c r="E791" s="19"/>
      <c r="F791" s="19"/>
    </row>
    <row r="792">
      <c r="B792" s="26"/>
      <c r="D792" s="18"/>
      <c r="E792" s="19"/>
      <c r="F792" s="19"/>
    </row>
    <row r="793">
      <c r="B793" s="26"/>
      <c r="D793" s="18"/>
      <c r="E793" s="19"/>
      <c r="F793" s="19"/>
    </row>
    <row r="794">
      <c r="B794" s="26"/>
      <c r="D794" s="18"/>
      <c r="E794" s="19"/>
      <c r="F794" s="19"/>
    </row>
    <row r="795">
      <c r="B795" s="26"/>
      <c r="D795" s="18"/>
      <c r="E795" s="19"/>
      <c r="F795" s="19"/>
    </row>
    <row r="796">
      <c r="B796" s="26"/>
      <c r="D796" s="18"/>
      <c r="E796" s="19"/>
      <c r="F796" s="19"/>
    </row>
    <row r="797">
      <c r="B797" s="26"/>
      <c r="D797" s="18"/>
      <c r="E797" s="19"/>
      <c r="F797" s="19"/>
    </row>
    <row r="798">
      <c r="B798" s="26"/>
      <c r="D798" s="18"/>
      <c r="E798" s="19"/>
      <c r="F798" s="19"/>
    </row>
    <row r="799">
      <c r="B799" s="26"/>
      <c r="D799" s="18"/>
      <c r="E799" s="19"/>
      <c r="F799" s="19"/>
    </row>
    <row r="800">
      <c r="B800" s="26"/>
      <c r="D800" s="18"/>
      <c r="E800" s="19"/>
      <c r="F800" s="19"/>
    </row>
    <row r="801">
      <c r="B801" s="26"/>
      <c r="D801" s="18"/>
      <c r="E801" s="19"/>
      <c r="F801" s="19"/>
    </row>
    <row r="802">
      <c r="B802" s="26"/>
      <c r="D802" s="18"/>
      <c r="E802" s="19"/>
      <c r="F802" s="19"/>
    </row>
    <row r="803">
      <c r="B803" s="26"/>
      <c r="D803" s="18"/>
      <c r="E803" s="19"/>
      <c r="F803" s="19"/>
    </row>
    <row r="804">
      <c r="B804" s="26"/>
      <c r="D804" s="18"/>
      <c r="E804" s="19"/>
      <c r="F804" s="19"/>
    </row>
    <row r="805">
      <c r="B805" s="26"/>
      <c r="D805" s="18"/>
      <c r="E805" s="19"/>
      <c r="F805" s="19"/>
    </row>
    <row r="806">
      <c r="B806" s="26"/>
      <c r="D806" s="18"/>
      <c r="E806" s="19"/>
      <c r="F806" s="19"/>
    </row>
    <row r="807">
      <c r="B807" s="26"/>
      <c r="D807" s="18"/>
      <c r="E807" s="19"/>
      <c r="F807" s="19"/>
    </row>
    <row r="808">
      <c r="B808" s="26"/>
      <c r="D808" s="18"/>
      <c r="E808" s="19"/>
      <c r="F808" s="19"/>
    </row>
    <row r="809">
      <c r="B809" s="26"/>
      <c r="D809" s="18"/>
      <c r="E809" s="19"/>
      <c r="F809" s="19"/>
    </row>
    <row r="810">
      <c r="B810" s="26"/>
      <c r="D810" s="18"/>
      <c r="E810" s="19"/>
      <c r="F810" s="19"/>
    </row>
    <row r="811">
      <c r="B811" s="26"/>
      <c r="D811" s="18"/>
      <c r="E811" s="19"/>
      <c r="F811" s="19"/>
    </row>
    <row r="812">
      <c r="B812" s="26"/>
      <c r="D812" s="18"/>
      <c r="E812" s="19"/>
      <c r="F812" s="19"/>
    </row>
    <row r="813">
      <c r="B813" s="26"/>
      <c r="D813" s="18"/>
      <c r="E813" s="19"/>
      <c r="F813" s="19"/>
    </row>
    <row r="814">
      <c r="B814" s="26"/>
      <c r="D814" s="18"/>
      <c r="E814" s="19"/>
      <c r="F814" s="19"/>
    </row>
    <row r="815">
      <c r="B815" s="26"/>
      <c r="D815" s="18"/>
      <c r="E815" s="19"/>
      <c r="F815" s="19"/>
    </row>
    <row r="816">
      <c r="B816" s="26"/>
      <c r="D816" s="18"/>
      <c r="E816" s="19"/>
      <c r="F816" s="19"/>
    </row>
    <row r="817">
      <c r="B817" s="26"/>
      <c r="D817" s="18"/>
      <c r="E817" s="19"/>
      <c r="F817" s="19"/>
    </row>
    <row r="818">
      <c r="B818" s="26"/>
      <c r="D818" s="18"/>
      <c r="E818" s="19"/>
      <c r="F818" s="19"/>
    </row>
    <row r="819">
      <c r="B819" s="26"/>
      <c r="D819" s="18"/>
      <c r="E819" s="19"/>
      <c r="F819" s="19"/>
    </row>
    <row r="820">
      <c r="B820" s="26"/>
      <c r="D820" s="18"/>
      <c r="E820" s="19"/>
      <c r="F820" s="19"/>
    </row>
    <row r="821">
      <c r="B821" s="26"/>
      <c r="D821" s="18"/>
      <c r="E821" s="19"/>
      <c r="F821" s="19"/>
    </row>
    <row r="822">
      <c r="B822" s="26"/>
      <c r="D822" s="18"/>
      <c r="E822" s="19"/>
      <c r="F822" s="19"/>
    </row>
    <row r="823">
      <c r="B823" s="26"/>
      <c r="D823" s="18"/>
      <c r="E823" s="19"/>
      <c r="F823" s="19"/>
    </row>
    <row r="824">
      <c r="B824" s="26"/>
      <c r="D824" s="18"/>
      <c r="E824" s="19"/>
      <c r="F824" s="19"/>
    </row>
    <row r="825">
      <c r="B825" s="26"/>
      <c r="D825" s="18"/>
      <c r="E825" s="19"/>
      <c r="F825" s="19"/>
    </row>
    <row r="826">
      <c r="B826" s="26"/>
      <c r="D826" s="18"/>
      <c r="E826" s="19"/>
      <c r="F826" s="19"/>
    </row>
    <row r="827">
      <c r="B827" s="26"/>
      <c r="D827" s="18"/>
      <c r="E827" s="19"/>
      <c r="F827" s="19"/>
    </row>
    <row r="828">
      <c r="B828" s="26"/>
      <c r="D828" s="18"/>
      <c r="E828" s="19"/>
      <c r="F828" s="19"/>
    </row>
    <row r="829">
      <c r="B829" s="26"/>
      <c r="D829" s="18"/>
      <c r="E829" s="19"/>
      <c r="F829" s="19"/>
    </row>
    <row r="830">
      <c r="B830" s="26"/>
      <c r="D830" s="18"/>
      <c r="E830" s="19"/>
      <c r="F830" s="19"/>
    </row>
    <row r="831">
      <c r="B831" s="26"/>
      <c r="D831" s="18"/>
      <c r="E831" s="19"/>
      <c r="F831" s="19"/>
    </row>
    <row r="832">
      <c r="B832" s="26"/>
      <c r="D832" s="18"/>
      <c r="E832" s="19"/>
      <c r="F832" s="19"/>
    </row>
    <row r="833">
      <c r="B833" s="26"/>
      <c r="D833" s="18"/>
      <c r="E833" s="19"/>
      <c r="F833" s="19"/>
    </row>
    <row r="834">
      <c r="B834" s="26"/>
      <c r="D834" s="18"/>
      <c r="E834" s="19"/>
      <c r="F834" s="19"/>
    </row>
    <row r="835">
      <c r="B835" s="26"/>
      <c r="D835" s="18"/>
      <c r="E835" s="19"/>
      <c r="F835" s="19"/>
    </row>
    <row r="836">
      <c r="B836" s="26"/>
      <c r="D836" s="18"/>
      <c r="E836" s="19"/>
      <c r="F836" s="19"/>
    </row>
    <row r="837">
      <c r="B837" s="26"/>
      <c r="D837" s="18"/>
      <c r="E837" s="19"/>
      <c r="F837" s="19"/>
    </row>
    <row r="838">
      <c r="B838" s="26"/>
      <c r="D838" s="18"/>
      <c r="E838" s="19"/>
      <c r="F838" s="19"/>
    </row>
    <row r="839">
      <c r="B839" s="26"/>
      <c r="D839" s="18"/>
      <c r="E839" s="19"/>
      <c r="F839" s="19"/>
    </row>
    <row r="840">
      <c r="B840" s="26"/>
      <c r="D840" s="18"/>
      <c r="E840" s="19"/>
      <c r="F840" s="19"/>
    </row>
    <row r="841">
      <c r="B841" s="26"/>
      <c r="D841" s="18"/>
      <c r="E841" s="19"/>
      <c r="F841" s="19"/>
    </row>
    <row r="842">
      <c r="B842" s="26"/>
      <c r="D842" s="18"/>
      <c r="E842" s="19"/>
      <c r="F842" s="19"/>
    </row>
    <row r="843">
      <c r="B843" s="26"/>
      <c r="D843" s="18"/>
      <c r="E843" s="19"/>
      <c r="F843" s="19"/>
    </row>
    <row r="844">
      <c r="B844" s="26"/>
      <c r="D844" s="18"/>
      <c r="E844" s="19"/>
      <c r="F844" s="19"/>
    </row>
    <row r="845">
      <c r="B845" s="26"/>
      <c r="D845" s="18"/>
      <c r="E845" s="19"/>
      <c r="F845" s="19"/>
    </row>
    <row r="846">
      <c r="B846" s="26"/>
      <c r="D846" s="18"/>
      <c r="E846" s="19"/>
      <c r="F846" s="19"/>
    </row>
    <row r="847">
      <c r="B847" s="26"/>
      <c r="D847" s="18"/>
      <c r="E847" s="19"/>
      <c r="F847" s="19"/>
    </row>
    <row r="848">
      <c r="B848" s="26"/>
      <c r="D848" s="18"/>
      <c r="E848" s="19"/>
      <c r="F848" s="19"/>
    </row>
    <row r="849">
      <c r="B849" s="26"/>
      <c r="D849" s="18"/>
      <c r="E849" s="19"/>
      <c r="F849" s="19"/>
    </row>
    <row r="850">
      <c r="B850" s="26"/>
      <c r="D850" s="18"/>
      <c r="E850" s="19"/>
      <c r="F850" s="19"/>
    </row>
    <row r="851">
      <c r="B851" s="26"/>
      <c r="D851" s="18"/>
      <c r="E851" s="19"/>
      <c r="F851" s="19"/>
    </row>
    <row r="852">
      <c r="B852" s="26"/>
      <c r="D852" s="18"/>
      <c r="E852" s="19"/>
      <c r="F852" s="19"/>
    </row>
    <row r="853">
      <c r="B853" s="26"/>
      <c r="D853" s="18"/>
      <c r="E853" s="19"/>
      <c r="F853" s="19"/>
    </row>
    <row r="854">
      <c r="B854" s="26"/>
      <c r="D854" s="18"/>
      <c r="E854" s="19"/>
      <c r="F854" s="19"/>
    </row>
    <row r="855">
      <c r="B855" s="26"/>
      <c r="D855" s="18"/>
      <c r="E855" s="19"/>
      <c r="F855" s="19"/>
    </row>
    <row r="856">
      <c r="B856" s="26"/>
      <c r="D856" s="18"/>
      <c r="E856" s="19"/>
      <c r="F856" s="19"/>
    </row>
    <row r="857">
      <c r="B857" s="26"/>
      <c r="D857" s="18"/>
      <c r="E857" s="19"/>
      <c r="F857" s="19"/>
    </row>
    <row r="858">
      <c r="B858" s="26"/>
      <c r="D858" s="18"/>
      <c r="E858" s="19"/>
      <c r="F858" s="19"/>
    </row>
    <row r="859">
      <c r="B859" s="26"/>
      <c r="D859" s="18"/>
      <c r="E859" s="19"/>
      <c r="F859" s="19"/>
    </row>
    <row r="860">
      <c r="B860" s="26"/>
      <c r="D860" s="18"/>
      <c r="E860" s="19"/>
      <c r="F860" s="19"/>
    </row>
    <row r="861">
      <c r="B861" s="26"/>
      <c r="D861" s="18"/>
      <c r="E861" s="19"/>
      <c r="F861" s="19"/>
    </row>
    <row r="862">
      <c r="B862" s="26"/>
      <c r="D862" s="18"/>
      <c r="E862" s="19"/>
      <c r="F862" s="19"/>
    </row>
    <row r="863">
      <c r="B863" s="26"/>
      <c r="D863" s="18"/>
      <c r="E863" s="19"/>
      <c r="F863" s="19"/>
    </row>
    <row r="864">
      <c r="B864" s="26"/>
      <c r="D864" s="18"/>
      <c r="E864" s="19"/>
      <c r="F864" s="19"/>
    </row>
    <row r="865">
      <c r="B865" s="26"/>
      <c r="D865" s="18"/>
      <c r="E865" s="19"/>
      <c r="F865" s="19"/>
    </row>
    <row r="866">
      <c r="B866" s="26"/>
      <c r="D866" s="18"/>
      <c r="E866" s="19"/>
      <c r="F866" s="19"/>
    </row>
    <row r="867">
      <c r="B867" s="26"/>
      <c r="D867" s="18"/>
      <c r="E867" s="19"/>
      <c r="F867" s="19"/>
    </row>
    <row r="868">
      <c r="B868" s="26"/>
      <c r="D868" s="18"/>
      <c r="E868" s="19"/>
      <c r="F868" s="19"/>
    </row>
    <row r="869">
      <c r="B869" s="26"/>
      <c r="D869" s="18"/>
      <c r="E869" s="19"/>
      <c r="F869" s="19"/>
    </row>
    <row r="870">
      <c r="B870" s="26"/>
      <c r="D870" s="18"/>
      <c r="E870" s="19"/>
      <c r="F870" s="19"/>
    </row>
    <row r="871">
      <c r="B871" s="26"/>
      <c r="D871" s="18"/>
      <c r="E871" s="19"/>
      <c r="F871" s="19"/>
    </row>
    <row r="872">
      <c r="B872" s="26"/>
      <c r="D872" s="18"/>
      <c r="E872" s="19"/>
      <c r="F872" s="19"/>
    </row>
    <row r="873">
      <c r="B873" s="26"/>
      <c r="D873" s="18"/>
      <c r="E873" s="19"/>
      <c r="F873" s="19"/>
    </row>
    <row r="874">
      <c r="B874" s="26"/>
      <c r="D874" s="18"/>
      <c r="E874" s="19"/>
      <c r="F874" s="19"/>
    </row>
    <row r="875">
      <c r="B875" s="26"/>
      <c r="D875" s="18"/>
      <c r="E875" s="19"/>
      <c r="F875" s="19"/>
    </row>
    <row r="876">
      <c r="B876" s="26"/>
      <c r="D876" s="18"/>
      <c r="E876" s="19"/>
      <c r="F876" s="19"/>
    </row>
    <row r="877">
      <c r="B877" s="26"/>
      <c r="D877" s="18"/>
      <c r="E877" s="19"/>
      <c r="F877" s="19"/>
    </row>
    <row r="878">
      <c r="B878" s="26"/>
      <c r="D878" s="18"/>
      <c r="E878" s="19"/>
      <c r="F878" s="19"/>
    </row>
    <row r="879">
      <c r="B879" s="26"/>
      <c r="D879" s="18"/>
      <c r="E879" s="19"/>
      <c r="F879" s="19"/>
    </row>
    <row r="880">
      <c r="B880" s="26"/>
      <c r="D880" s="18"/>
      <c r="E880" s="19"/>
      <c r="F880" s="19"/>
    </row>
    <row r="881">
      <c r="B881" s="26"/>
      <c r="D881" s="18"/>
      <c r="E881" s="19"/>
      <c r="F881" s="19"/>
    </row>
    <row r="882">
      <c r="B882" s="26"/>
      <c r="D882" s="18"/>
      <c r="E882" s="19"/>
      <c r="F882" s="19"/>
    </row>
    <row r="883">
      <c r="B883" s="26"/>
      <c r="D883" s="18"/>
      <c r="E883" s="19"/>
      <c r="F883" s="19"/>
    </row>
    <row r="884">
      <c r="B884" s="26"/>
      <c r="D884" s="18"/>
      <c r="E884" s="19"/>
      <c r="F884" s="19"/>
    </row>
    <row r="885">
      <c r="B885" s="26"/>
      <c r="D885" s="18"/>
      <c r="E885" s="19"/>
      <c r="F885" s="19"/>
    </row>
    <row r="886">
      <c r="B886" s="26"/>
      <c r="D886" s="18"/>
      <c r="E886" s="19"/>
      <c r="F886" s="19"/>
    </row>
    <row r="887">
      <c r="B887" s="26"/>
      <c r="D887" s="18"/>
      <c r="E887" s="19"/>
      <c r="F887" s="19"/>
    </row>
    <row r="888">
      <c r="B888" s="26"/>
      <c r="D888" s="18"/>
      <c r="E888" s="19"/>
      <c r="F888" s="19"/>
    </row>
    <row r="889">
      <c r="B889" s="26"/>
      <c r="D889" s="18"/>
      <c r="E889" s="19"/>
      <c r="F889" s="19"/>
    </row>
    <row r="890">
      <c r="B890" s="26"/>
      <c r="D890" s="18"/>
      <c r="E890" s="19"/>
      <c r="F890" s="19"/>
    </row>
    <row r="891">
      <c r="B891" s="26"/>
      <c r="D891" s="18"/>
      <c r="E891" s="19"/>
      <c r="F891" s="19"/>
    </row>
    <row r="892">
      <c r="B892" s="26"/>
      <c r="D892" s="18"/>
      <c r="E892" s="19"/>
      <c r="F892" s="19"/>
    </row>
    <row r="893">
      <c r="B893" s="26"/>
      <c r="D893" s="18"/>
      <c r="E893" s="19"/>
      <c r="F893" s="19"/>
    </row>
    <row r="894">
      <c r="B894" s="26"/>
      <c r="D894" s="18"/>
      <c r="E894" s="19"/>
      <c r="F894" s="19"/>
    </row>
    <row r="895">
      <c r="B895" s="26"/>
      <c r="D895" s="18"/>
      <c r="E895" s="19"/>
      <c r="F895" s="19"/>
    </row>
    <row r="896">
      <c r="B896" s="26"/>
      <c r="D896" s="18"/>
      <c r="E896" s="19"/>
      <c r="F896" s="19"/>
    </row>
    <row r="897">
      <c r="B897" s="26"/>
      <c r="D897" s="18"/>
      <c r="E897" s="19"/>
      <c r="F897" s="19"/>
    </row>
    <row r="898">
      <c r="B898" s="26"/>
      <c r="D898" s="18"/>
      <c r="E898" s="19"/>
      <c r="F898" s="19"/>
    </row>
    <row r="899">
      <c r="B899" s="26"/>
      <c r="D899" s="18"/>
      <c r="E899" s="19"/>
      <c r="F899" s="19"/>
    </row>
    <row r="900">
      <c r="B900" s="26"/>
      <c r="D900" s="18"/>
      <c r="E900" s="19"/>
      <c r="F900" s="19"/>
    </row>
    <row r="901">
      <c r="B901" s="26"/>
      <c r="D901" s="18"/>
      <c r="E901" s="19"/>
      <c r="F901" s="19"/>
    </row>
    <row r="902">
      <c r="B902" s="26"/>
      <c r="D902" s="18"/>
      <c r="E902" s="19"/>
      <c r="F902" s="19"/>
    </row>
    <row r="903">
      <c r="B903" s="26"/>
      <c r="D903" s="18"/>
      <c r="E903" s="19"/>
      <c r="F903" s="19"/>
    </row>
    <row r="904">
      <c r="B904" s="26"/>
      <c r="D904" s="18"/>
      <c r="E904" s="19"/>
      <c r="F904" s="19"/>
    </row>
    <row r="905">
      <c r="B905" s="26"/>
      <c r="D905" s="18"/>
      <c r="E905" s="19"/>
      <c r="F905" s="19"/>
    </row>
    <row r="906">
      <c r="B906" s="26"/>
      <c r="D906" s="18"/>
      <c r="E906" s="19"/>
      <c r="F906" s="19"/>
    </row>
    <row r="907">
      <c r="B907" s="26"/>
      <c r="D907" s="18"/>
      <c r="E907" s="19"/>
      <c r="F907" s="19"/>
    </row>
    <row r="908">
      <c r="B908" s="26"/>
      <c r="D908" s="18"/>
      <c r="E908" s="19"/>
      <c r="F908" s="19"/>
    </row>
    <row r="909">
      <c r="B909" s="26"/>
      <c r="D909" s="18"/>
      <c r="E909" s="19"/>
      <c r="F909" s="19"/>
    </row>
    <row r="910">
      <c r="B910" s="26"/>
      <c r="D910" s="18"/>
      <c r="E910" s="19"/>
      <c r="F910" s="19"/>
    </row>
    <row r="911">
      <c r="B911" s="26"/>
      <c r="D911" s="18"/>
      <c r="E911" s="19"/>
      <c r="F911" s="19"/>
    </row>
    <row r="912">
      <c r="B912" s="26"/>
      <c r="D912" s="18"/>
      <c r="E912" s="19"/>
      <c r="F912" s="19"/>
    </row>
    <row r="913">
      <c r="B913" s="26"/>
      <c r="D913" s="18"/>
      <c r="E913" s="19"/>
      <c r="F913" s="19"/>
    </row>
    <row r="914">
      <c r="B914" s="26"/>
      <c r="D914" s="18"/>
      <c r="E914" s="19"/>
      <c r="F914" s="19"/>
    </row>
    <row r="915">
      <c r="B915" s="26"/>
      <c r="D915" s="18"/>
      <c r="E915" s="19"/>
      <c r="F915" s="19"/>
    </row>
    <row r="916">
      <c r="B916" s="26"/>
      <c r="D916" s="18"/>
      <c r="E916" s="19"/>
      <c r="F916" s="19"/>
    </row>
    <row r="917">
      <c r="B917" s="26"/>
      <c r="D917" s="18"/>
      <c r="E917" s="19"/>
      <c r="F917" s="19"/>
    </row>
    <row r="918">
      <c r="B918" s="26"/>
      <c r="D918" s="18"/>
      <c r="E918" s="19"/>
      <c r="F918" s="19"/>
    </row>
    <row r="919">
      <c r="B919" s="26"/>
      <c r="D919" s="18"/>
      <c r="E919" s="19"/>
      <c r="F919" s="19"/>
    </row>
    <row r="920">
      <c r="B920" s="26"/>
      <c r="D920" s="18"/>
      <c r="E920" s="19"/>
      <c r="F920" s="19"/>
    </row>
    <row r="921">
      <c r="B921" s="26"/>
      <c r="D921" s="18"/>
      <c r="E921" s="19"/>
      <c r="F921" s="19"/>
    </row>
    <row r="922">
      <c r="B922" s="26"/>
      <c r="D922" s="18"/>
      <c r="E922" s="19"/>
      <c r="F922" s="19"/>
    </row>
    <row r="923">
      <c r="B923" s="26"/>
      <c r="D923" s="18"/>
      <c r="E923" s="19"/>
      <c r="F923" s="19"/>
    </row>
    <row r="924">
      <c r="B924" s="26"/>
      <c r="D924" s="18"/>
      <c r="E924" s="19"/>
      <c r="F924" s="19"/>
    </row>
    <row r="925">
      <c r="B925" s="26"/>
      <c r="D925" s="18"/>
      <c r="E925" s="19"/>
      <c r="F925" s="19"/>
    </row>
    <row r="926">
      <c r="B926" s="26"/>
      <c r="D926" s="18"/>
      <c r="E926" s="19"/>
      <c r="F926" s="19"/>
    </row>
    <row r="927">
      <c r="B927" s="26"/>
      <c r="D927" s="18"/>
      <c r="E927" s="19"/>
      <c r="F927" s="19"/>
    </row>
    <row r="928">
      <c r="B928" s="26"/>
      <c r="D928" s="18"/>
      <c r="E928" s="19"/>
      <c r="F928" s="19"/>
    </row>
    <row r="929">
      <c r="B929" s="26"/>
      <c r="D929" s="18"/>
      <c r="E929" s="19"/>
      <c r="F929" s="19"/>
    </row>
    <row r="930">
      <c r="B930" s="26"/>
      <c r="D930" s="18"/>
      <c r="E930" s="19"/>
      <c r="F930" s="19"/>
    </row>
    <row r="931">
      <c r="B931" s="26"/>
      <c r="D931" s="18"/>
      <c r="E931" s="19"/>
      <c r="F931" s="19"/>
    </row>
    <row r="932">
      <c r="B932" s="26"/>
      <c r="D932" s="18"/>
      <c r="E932" s="19"/>
      <c r="F932" s="19"/>
    </row>
    <row r="933">
      <c r="B933" s="26"/>
      <c r="D933" s="18"/>
      <c r="E933" s="19"/>
      <c r="F933" s="19"/>
    </row>
    <row r="934">
      <c r="B934" s="26"/>
      <c r="D934" s="18"/>
      <c r="E934" s="19"/>
      <c r="F934" s="19"/>
    </row>
    <row r="935">
      <c r="B935" s="26"/>
      <c r="D935" s="18"/>
      <c r="E935" s="19"/>
      <c r="F935" s="19"/>
    </row>
    <row r="936">
      <c r="B936" s="26"/>
      <c r="D936" s="18"/>
      <c r="E936" s="19"/>
      <c r="F936" s="19"/>
    </row>
    <row r="937">
      <c r="B937" s="26"/>
      <c r="D937" s="18"/>
      <c r="E937" s="19"/>
      <c r="F937" s="19"/>
    </row>
    <row r="938">
      <c r="B938" s="26"/>
      <c r="D938" s="18"/>
      <c r="E938" s="19"/>
      <c r="F938" s="19"/>
    </row>
    <row r="939">
      <c r="B939" s="26"/>
      <c r="D939" s="18"/>
      <c r="E939" s="19"/>
      <c r="F939" s="19"/>
    </row>
    <row r="940">
      <c r="B940" s="26"/>
      <c r="D940" s="18"/>
      <c r="E940" s="19"/>
      <c r="F940" s="19"/>
    </row>
    <row r="941">
      <c r="B941" s="26"/>
      <c r="D941" s="18"/>
      <c r="E941" s="19"/>
      <c r="F941" s="19"/>
    </row>
    <row r="942">
      <c r="B942" s="26"/>
      <c r="D942" s="18"/>
      <c r="E942" s="19"/>
      <c r="F942" s="19"/>
    </row>
    <row r="943">
      <c r="B943" s="26"/>
      <c r="D943" s="18"/>
      <c r="E943" s="19"/>
      <c r="F943" s="19"/>
    </row>
    <row r="944">
      <c r="B944" s="26"/>
      <c r="D944" s="18"/>
      <c r="E944" s="19"/>
      <c r="F944" s="19"/>
    </row>
    <row r="945">
      <c r="B945" s="26"/>
      <c r="D945" s="18"/>
      <c r="E945" s="19"/>
      <c r="F945" s="19"/>
    </row>
    <row r="946">
      <c r="B946" s="26"/>
      <c r="D946" s="18"/>
      <c r="E946" s="19"/>
      <c r="F946" s="19"/>
    </row>
    <row r="947">
      <c r="B947" s="26"/>
      <c r="D947" s="18"/>
      <c r="E947" s="19"/>
      <c r="F947" s="19"/>
    </row>
    <row r="948">
      <c r="B948" s="26"/>
      <c r="D948" s="18"/>
      <c r="E948" s="19"/>
      <c r="F948" s="19"/>
    </row>
    <row r="949">
      <c r="B949" s="26"/>
      <c r="D949" s="18"/>
      <c r="E949" s="19"/>
      <c r="F949" s="19"/>
    </row>
    <row r="950">
      <c r="B950" s="26"/>
      <c r="D950" s="18"/>
      <c r="E950" s="19"/>
      <c r="F950" s="19"/>
    </row>
    <row r="951">
      <c r="B951" s="26"/>
      <c r="D951" s="18"/>
      <c r="E951" s="19"/>
      <c r="F951" s="19"/>
    </row>
    <row r="952">
      <c r="B952" s="26"/>
      <c r="D952" s="18"/>
      <c r="E952" s="19"/>
      <c r="F952" s="19"/>
    </row>
    <row r="953">
      <c r="B953" s="26"/>
      <c r="D953" s="18"/>
      <c r="E953" s="19"/>
      <c r="F953" s="19"/>
    </row>
    <row r="954">
      <c r="B954" s="26"/>
      <c r="D954" s="18"/>
      <c r="E954" s="19"/>
      <c r="F954" s="19"/>
    </row>
    <row r="955">
      <c r="B955" s="26"/>
      <c r="D955" s="18"/>
      <c r="E955" s="19"/>
      <c r="F955" s="19"/>
    </row>
    <row r="956">
      <c r="B956" s="26"/>
      <c r="D956" s="18"/>
      <c r="E956" s="19"/>
      <c r="F956" s="19"/>
    </row>
    <row r="957">
      <c r="B957" s="26"/>
      <c r="D957" s="18"/>
      <c r="E957" s="19"/>
      <c r="F957" s="19"/>
    </row>
    <row r="958">
      <c r="B958" s="26"/>
      <c r="D958" s="18"/>
      <c r="E958" s="19"/>
      <c r="F958" s="19"/>
    </row>
    <row r="959">
      <c r="B959" s="26"/>
      <c r="D959" s="18"/>
      <c r="E959" s="19"/>
      <c r="F959" s="19"/>
    </row>
    <row r="960">
      <c r="B960" s="26"/>
      <c r="D960" s="18"/>
      <c r="E960" s="19"/>
      <c r="F960" s="19"/>
    </row>
    <row r="961">
      <c r="B961" s="26"/>
      <c r="D961" s="18"/>
      <c r="E961" s="19"/>
      <c r="F961" s="19"/>
    </row>
    <row r="962">
      <c r="B962" s="26"/>
      <c r="D962" s="18"/>
      <c r="E962" s="19"/>
      <c r="F962" s="19"/>
    </row>
    <row r="963">
      <c r="B963" s="26"/>
      <c r="D963" s="18"/>
      <c r="E963" s="19"/>
      <c r="F963" s="19"/>
    </row>
    <row r="964">
      <c r="B964" s="26"/>
      <c r="D964" s="18"/>
      <c r="E964" s="19"/>
      <c r="F964" s="19"/>
    </row>
    <row r="965">
      <c r="B965" s="26"/>
      <c r="D965" s="18"/>
      <c r="E965" s="19"/>
      <c r="F965" s="19"/>
    </row>
    <row r="966">
      <c r="B966" s="26"/>
      <c r="D966" s="18"/>
      <c r="E966" s="19"/>
      <c r="F966" s="19"/>
    </row>
    <row r="967">
      <c r="B967" s="26"/>
      <c r="D967" s="18"/>
      <c r="E967" s="19"/>
      <c r="F967" s="19"/>
    </row>
    <row r="968">
      <c r="B968" s="26"/>
      <c r="D968" s="18"/>
      <c r="E968" s="19"/>
      <c r="F968" s="19"/>
    </row>
    <row r="969">
      <c r="B969" s="26"/>
      <c r="D969" s="18"/>
      <c r="E969" s="19"/>
      <c r="F969" s="19"/>
    </row>
    <row r="970">
      <c r="B970" s="26"/>
      <c r="D970" s="18"/>
      <c r="E970" s="19"/>
      <c r="F970" s="19"/>
    </row>
    <row r="971">
      <c r="B971" s="26"/>
      <c r="D971" s="18"/>
      <c r="E971" s="19"/>
      <c r="F971" s="19"/>
    </row>
    <row r="972">
      <c r="B972" s="26"/>
      <c r="D972" s="18"/>
      <c r="E972" s="19"/>
      <c r="F972" s="19"/>
    </row>
    <row r="973">
      <c r="B973" s="26"/>
      <c r="D973" s="18"/>
      <c r="E973" s="19"/>
      <c r="F973" s="19"/>
    </row>
    <row r="974">
      <c r="B974" s="26"/>
      <c r="D974" s="18"/>
      <c r="E974" s="19"/>
      <c r="F974" s="19"/>
    </row>
    <row r="975">
      <c r="B975" s="26"/>
      <c r="D975" s="18"/>
      <c r="E975" s="19"/>
      <c r="F975" s="19"/>
    </row>
    <row r="976">
      <c r="B976" s="26"/>
      <c r="D976" s="18"/>
      <c r="E976" s="19"/>
      <c r="F976" s="19"/>
    </row>
    <row r="977">
      <c r="B977" s="26"/>
      <c r="D977" s="18"/>
      <c r="E977" s="19"/>
      <c r="F977" s="19"/>
    </row>
    <row r="978">
      <c r="B978" s="26"/>
      <c r="D978" s="18"/>
      <c r="E978" s="19"/>
      <c r="F978" s="19"/>
    </row>
    <row r="979">
      <c r="B979" s="26"/>
      <c r="D979" s="18"/>
      <c r="E979" s="19"/>
      <c r="F979" s="19"/>
    </row>
    <row r="980">
      <c r="B980" s="26"/>
      <c r="D980" s="18"/>
      <c r="E980" s="19"/>
      <c r="F980" s="19"/>
    </row>
    <row r="981">
      <c r="B981" s="26"/>
      <c r="D981" s="18"/>
      <c r="E981" s="19"/>
      <c r="F981" s="19"/>
    </row>
    <row r="982">
      <c r="B982" s="26"/>
      <c r="D982" s="18"/>
      <c r="E982" s="19"/>
      <c r="F982" s="19"/>
    </row>
    <row r="983">
      <c r="B983" s="26"/>
      <c r="D983" s="18"/>
      <c r="E983" s="19"/>
      <c r="F983" s="19"/>
    </row>
    <row r="984">
      <c r="B984" s="26"/>
      <c r="D984" s="18"/>
      <c r="E984" s="19"/>
      <c r="F984" s="19"/>
    </row>
    <row r="985">
      <c r="B985" s="26"/>
      <c r="D985" s="18"/>
      <c r="E985" s="19"/>
      <c r="F985" s="19"/>
    </row>
    <row r="986">
      <c r="B986" s="26"/>
      <c r="D986" s="18"/>
      <c r="E986" s="19"/>
      <c r="F986" s="19"/>
    </row>
    <row r="987">
      <c r="B987" s="26"/>
      <c r="D987" s="18"/>
      <c r="E987" s="19"/>
      <c r="F987" s="19"/>
    </row>
    <row r="988">
      <c r="B988" s="26"/>
      <c r="D988" s="18"/>
      <c r="E988" s="19"/>
      <c r="F988" s="19"/>
    </row>
    <row r="989">
      <c r="B989" s="26"/>
      <c r="D989" s="18"/>
      <c r="E989" s="19"/>
      <c r="F989" s="19"/>
    </row>
    <row r="990">
      <c r="B990" s="26"/>
      <c r="D990" s="18"/>
      <c r="E990" s="19"/>
      <c r="F990" s="19"/>
    </row>
    <row r="991">
      <c r="B991" s="26"/>
      <c r="D991" s="18"/>
      <c r="E991" s="19"/>
      <c r="F991" s="19"/>
    </row>
    <row r="992">
      <c r="B992" s="26"/>
      <c r="D992" s="18"/>
      <c r="E992" s="19"/>
      <c r="F992" s="19"/>
    </row>
    <row r="993">
      <c r="B993" s="26"/>
      <c r="D993" s="18"/>
      <c r="E993" s="19"/>
      <c r="F993" s="19"/>
    </row>
    <row r="994">
      <c r="B994" s="26"/>
      <c r="D994" s="18"/>
      <c r="E994" s="19"/>
      <c r="F994" s="19"/>
    </row>
    <row r="995">
      <c r="B995" s="26"/>
      <c r="D995" s="18"/>
      <c r="E995" s="19"/>
      <c r="F995" s="19"/>
    </row>
    <row r="996">
      <c r="B996" s="26"/>
      <c r="D996" s="18"/>
      <c r="E996" s="19"/>
      <c r="F996" s="19"/>
    </row>
    <row r="997">
      <c r="B997" s="26"/>
      <c r="D997" s="18"/>
      <c r="E997" s="19"/>
      <c r="F997" s="19"/>
    </row>
    <row r="998">
      <c r="B998" s="26"/>
      <c r="D998" s="18"/>
      <c r="E998" s="19"/>
      <c r="F998" s="19"/>
    </row>
    <row r="999">
      <c r="B999" s="26"/>
      <c r="D999" s="18"/>
      <c r="E999" s="19"/>
      <c r="F999" s="19"/>
    </row>
    <row r="1000">
      <c r="B1000" s="26"/>
      <c r="D1000" s="18"/>
      <c r="E1000" s="19"/>
      <c r="F1000" s="19"/>
    </row>
    <row r="1001">
      <c r="B1001" s="26"/>
      <c r="D1001" s="18"/>
      <c r="E1001" s="19"/>
      <c r="F1001" s="19"/>
    </row>
    <row r="1002">
      <c r="B1002" s="26"/>
      <c r="D1002" s="18"/>
      <c r="E1002" s="19"/>
      <c r="F1002" s="19"/>
    </row>
    <row r="1003">
      <c r="B1003" s="26"/>
      <c r="D1003" s="18"/>
      <c r="E1003" s="19"/>
      <c r="F1003" s="19"/>
    </row>
    <row r="1004">
      <c r="B1004" s="26"/>
      <c r="D1004" s="18"/>
      <c r="E1004" s="19"/>
      <c r="F1004" s="19"/>
    </row>
    <row r="1005">
      <c r="B1005" s="26"/>
      <c r="D1005" s="18"/>
      <c r="E1005" s="19"/>
      <c r="F1005" s="19"/>
    </row>
    <row r="1006">
      <c r="B1006" s="26"/>
      <c r="D1006" s="18"/>
      <c r="E1006" s="19"/>
      <c r="F1006" s="19"/>
    </row>
    <row r="1007">
      <c r="B1007" s="26"/>
      <c r="D1007" s="18"/>
      <c r="E1007" s="19"/>
      <c r="F1007" s="19"/>
    </row>
    <row r="1008">
      <c r="B1008" s="26"/>
      <c r="D1008" s="18"/>
      <c r="E1008" s="19"/>
      <c r="F1008" s="19"/>
    </row>
    <row r="1009">
      <c r="B1009" s="26"/>
      <c r="D1009" s="18"/>
      <c r="E1009" s="19"/>
      <c r="F1009" s="19"/>
    </row>
    <row r="1010">
      <c r="B1010" s="26"/>
      <c r="D1010" s="18"/>
      <c r="E1010" s="19"/>
      <c r="F1010" s="19"/>
    </row>
    <row r="1011">
      <c r="B1011" s="26"/>
      <c r="D1011" s="18"/>
      <c r="E1011" s="19"/>
      <c r="F1011" s="19"/>
    </row>
    <row r="1012">
      <c r="B1012" s="26"/>
      <c r="D1012" s="18"/>
      <c r="E1012" s="19"/>
      <c r="F1012" s="19"/>
    </row>
    <row r="1013">
      <c r="B1013" s="26"/>
      <c r="D1013" s="18"/>
      <c r="E1013" s="19"/>
      <c r="F1013" s="19"/>
    </row>
    <row r="1014">
      <c r="B1014" s="26"/>
      <c r="D1014" s="18"/>
      <c r="E1014" s="19"/>
      <c r="F1014" s="19"/>
    </row>
    <row r="1015">
      <c r="B1015" s="26"/>
      <c r="D1015" s="18"/>
      <c r="E1015" s="19"/>
      <c r="F1015" s="19"/>
    </row>
    <row r="1016">
      <c r="B1016" s="26"/>
      <c r="D1016" s="18"/>
      <c r="E1016" s="19"/>
      <c r="F1016" s="19"/>
    </row>
    <row r="1017">
      <c r="B1017" s="26"/>
      <c r="D1017" s="18"/>
      <c r="E1017" s="19"/>
      <c r="F1017" s="19"/>
    </row>
    <row r="1018">
      <c r="B1018" s="26"/>
      <c r="D1018" s="18"/>
      <c r="E1018" s="19"/>
      <c r="F1018" s="19"/>
    </row>
    <row r="1019">
      <c r="B1019" s="26"/>
      <c r="D1019" s="18"/>
      <c r="E1019" s="19"/>
      <c r="F1019" s="19"/>
    </row>
    <row r="1020">
      <c r="B1020" s="26"/>
      <c r="D1020" s="18"/>
      <c r="E1020" s="19"/>
      <c r="F1020" s="19"/>
    </row>
    <row r="1021">
      <c r="B1021" s="26"/>
      <c r="D1021" s="18"/>
      <c r="E1021" s="19"/>
      <c r="F1021" s="19"/>
    </row>
    <row r="1022">
      <c r="B1022" s="26"/>
      <c r="D1022" s="18"/>
      <c r="E1022" s="19"/>
      <c r="F1022" s="19"/>
    </row>
    <row r="1023">
      <c r="B1023" s="26"/>
      <c r="D1023" s="18"/>
      <c r="E1023" s="19"/>
      <c r="F1023" s="19"/>
    </row>
    <row r="1024">
      <c r="B1024" s="26"/>
      <c r="D1024" s="18"/>
      <c r="E1024" s="19"/>
      <c r="F1024" s="19"/>
    </row>
    <row r="1025">
      <c r="B1025" s="26"/>
      <c r="D1025" s="18"/>
      <c r="E1025" s="19"/>
      <c r="F1025" s="19"/>
    </row>
    <row r="1026">
      <c r="B1026" s="26"/>
      <c r="D1026" s="18"/>
      <c r="E1026" s="19"/>
      <c r="F1026" s="19"/>
    </row>
    <row r="1027">
      <c r="B1027" s="26"/>
      <c r="D1027" s="18"/>
      <c r="E1027" s="19"/>
      <c r="F1027" s="19"/>
    </row>
  </sheetData>
  <autoFilter ref="$A$2:$Z$41">
    <sortState ref="A2:Z41">
      <sortCondition ref="B2:B41"/>
      <sortCondition ref="F2:F4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17.38"/>
    <col customWidth="1" min="3" max="3" width="28.63"/>
    <col customWidth="1" min="4" max="4" width="18.13"/>
    <col customWidth="1" min="5" max="5" width="7.0"/>
    <col customWidth="1" min="6" max="6" width="6.75"/>
    <col customWidth="1" min="7" max="7" width="126.13"/>
  </cols>
  <sheetData>
    <row r="1" ht="38.25" customHeight="1">
      <c r="A1" s="1">
        <f>SUM(A6:A45)</f>
        <v>619</v>
      </c>
      <c r="B1" s="2" t="s">
        <v>0</v>
      </c>
      <c r="C1" s="36">
        <f>SUM(F3:F97)</f>
        <v>95</v>
      </c>
      <c r="D1" s="3"/>
      <c r="E1" s="4"/>
      <c r="F1" s="4"/>
      <c r="G1" s="5" t="s">
        <v>1</v>
      </c>
    </row>
    <row r="2">
      <c r="A2" s="6" t="s">
        <v>2</v>
      </c>
      <c r="B2" s="7" t="s">
        <v>3</v>
      </c>
      <c r="C2" s="8" t="s">
        <v>4</v>
      </c>
      <c r="D2" s="9" t="s">
        <v>139</v>
      </c>
      <c r="E2" s="8" t="s">
        <v>6</v>
      </c>
      <c r="F2" s="6" t="s">
        <v>7</v>
      </c>
      <c r="G2" s="10" t="s">
        <v>8</v>
      </c>
    </row>
    <row r="3">
      <c r="A3" s="11">
        <f t="shared" ref="A3:A24" si="1">E3*F3</f>
        <v>0</v>
      </c>
      <c r="B3" s="15"/>
      <c r="C3" s="13"/>
      <c r="D3" s="13"/>
      <c r="E3" s="14"/>
      <c r="F3" s="14"/>
      <c r="G3" s="13"/>
    </row>
    <row r="4">
      <c r="A4" s="11">
        <f t="shared" si="1"/>
        <v>0</v>
      </c>
      <c r="B4" s="15"/>
      <c r="C4" s="13"/>
      <c r="D4" s="13"/>
      <c r="E4" s="14"/>
      <c r="F4" s="14"/>
      <c r="G4" s="13"/>
    </row>
    <row r="5">
      <c r="A5" s="11">
        <f t="shared" si="1"/>
        <v>0</v>
      </c>
      <c r="B5" s="15"/>
      <c r="C5" s="13"/>
      <c r="D5" s="13"/>
      <c r="E5" s="14"/>
      <c r="F5" s="14"/>
      <c r="G5" s="13"/>
    </row>
    <row r="6">
      <c r="A6" s="11">
        <f t="shared" si="1"/>
        <v>5</v>
      </c>
      <c r="B6" s="12">
        <v>45333.0</v>
      </c>
      <c r="C6" s="13" t="s">
        <v>140</v>
      </c>
      <c r="D6" s="13" t="s">
        <v>87</v>
      </c>
      <c r="E6" s="14">
        <v>5.0</v>
      </c>
      <c r="F6" s="14">
        <v>1.0</v>
      </c>
      <c r="G6" s="13" t="s">
        <v>141</v>
      </c>
    </row>
    <row r="7">
      <c r="A7" s="11">
        <f t="shared" si="1"/>
        <v>5</v>
      </c>
      <c r="B7" s="15" t="s">
        <v>142</v>
      </c>
      <c r="C7" s="13" t="s">
        <v>140</v>
      </c>
      <c r="D7" s="37" t="s">
        <v>23</v>
      </c>
      <c r="E7" s="14">
        <v>5.0</v>
      </c>
      <c r="F7" s="14">
        <v>1.0</v>
      </c>
      <c r="G7" s="13" t="s">
        <v>143</v>
      </c>
    </row>
    <row r="8">
      <c r="A8" s="11">
        <f t="shared" si="1"/>
        <v>15</v>
      </c>
      <c r="B8" s="15" t="s">
        <v>144</v>
      </c>
      <c r="C8" s="13" t="s">
        <v>29</v>
      </c>
      <c r="D8" s="13" t="s">
        <v>145</v>
      </c>
      <c r="E8" s="14">
        <v>15.0</v>
      </c>
      <c r="F8" s="14">
        <v>1.0</v>
      </c>
      <c r="G8" s="28" t="s">
        <v>146</v>
      </c>
    </row>
    <row r="9">
      <c r="A9" s="11">
        <f t="shared" si="1"/>
        <v>24</v>
      </c>
      <c r="B9" s="15" t="s">
        <v>147</v>
      </c>
      <c r="C9" s="13" t="s">
        <v>148</v>
      </c>
      <c r="D9" s="13" t="s">
        <v>69</v>
      </c>
      <c r="E9" s="14">
        <v>3.0</v>
      </c>
      <c r="F9" s="14">
        <v>8.0</v>
      </c>
      <c r="G9" s="28" t="s">
        <v>149</v>
      </c>
    </row>
    <row r="10">
      <c r="A10" s="11">
        <f t="shared" si="1"/>
        <v>5</v>
      </c>
      <c r="B10" s="12">
        <v>45422.0</v>
      </c>
      <c r="C10" s="13" t="s">
        <v>140</v>
      </c>
      <c r="D10" s="13" t="s">
        <v>150</v>
      </c>
      <c r="E10" s="14">
        <v>5.0</v>
      </c>
      <c r="F10" s="14">
        <v>1.0</v>
      </c>
      <c r="G10" s="28"/>
    </row>
    <row r="11">
      <c r="A11" s="11">
        <f t="shared" si="1"/>
        <v>3</v>
      </c>
      <c r="B11" s="12">
        <v>45392.0</v>
      </c>
      <c r="C11" s="13" t="s">
        <v>151</v>
      </c>
      <c r="D11" s="13" t="s">
        <v>87</v>
      </c>
      <c r="E11" s="14">
        <v>3.0</v>
      </c>
      <c r="F11" s="14">
        <v>1.0</v>
      </c>
      <c r="G11" s="28" t="s">
        <v>152</v>
      </c>
    </row>
    <row r="12">
      <c r="A12" s="11">
        <f t="shared" si="1"/>
        <v>16</v>
      </c>
      <c r="B12" s="15" t="s">
        <v>153</v>
      </c>
      <c r="C12" s="13" t="s">
        <v>148</v>
      </c>
      <c r="D12" s="13" t="s">
        <v>69</v>
      </c>
      <c r="E12" s="14">
        <v>2.0</v>
      </c>
      <c r="F12" s="14">
        <v>8.0</v>
      </c>
      <c r="G12" s="28" t="s">
        <v>154</v>
      </c>
    </row>
    <row r="13">
      <c r="A13" s="11">
        <f t="shared" si="1"/>
        <v>6</v>
      </c>
      <c r="B13" s="15" t="s">
        <v>155</v>
      </c>
      <c r="C13" s="13" t="s">
        <v>117</v>
      </c>
      <c r="D13" s="13" t="s">
        <v>145</v>
      </c>
      <c r="E13" s="14">
        <v>6.0</v>
      </c>
      <c r="F13" s="14">
        <v>1.0</v>
      </c>
      <c r="G13" s="28" t="s">
        <v>156</v>
      </c>
    </row>
    <row r="14">
      <c r="A14" s="11">
        <f t="shared" si="1"/>
        <v>3</v>
      </c>
      <c r="B14" s="15" t="s">
        <v>157</v>
      </c>
      <c r="C14" s="13" t="s">
        <v>34</v>
      </c>
      <c r="D14" s="13" t="s">
        <v>87</v>
      </c>
      <c r="E14" s="14">
        <v>3.0</v>
      </c>
      <c r="F14" s="14">
        <v>1.0</v>
      </c>
      <c r="G14" s="28" t="s">
        <v>158</v>
      </c>
    </row>
    <row r="15">
      <c r="A15" s="11">
        <f t="shared" si="1"/>
        <v>70</v>
      </c>
      <c r="B15" s="15" t="s">
        <v>159</v>
      </c>
      <c r="C15" s="13" t="s">
        <v>160</v>
      </c>
      <c r="D15" s="13" t="s">
        <v>69</v>
      </c>
      <c r="E15" s="14">
        <v>10.0</v>
      </c>
      <c r="F15" s="14">
        <v>7.0</v>
      </c>
      <c r="G15" s="28" t="s">
        <v>161</v>
      </c>
    </row>
    <row r="16">
      <c r="A16" s="11">
        <f t="shared" si="1"/>
        <v>35</v>
      </c>
      <c r="B16" s="15" t="s">
        <v>162</v>
      </c>
      <c r="C16" s="13" t="s">
        <v>160</v>
      </c>
      <c r="D16" s="13" t="s">
        <v>69</v>
      </c>
      <c r="E16" s="14">
        <v>7.0</v>
      </c>
      <c r="F16" s="14">
        <v>5.0</v>
      </c>
      <c r="G16" s="28" t="s">
        <v>163</v>
      </c>
    </row>
    <row r="17">
      <c r="A17" s="11">
        <f t="shared" si="1"/>
        <v>5</v>
      </c>
      <c r="B17" s="15" t="s">
        <v>164</v>
      </c>
      <c r="C17" s="13" t="s">
        <v>81</v>
      </c>
      <c r="D17" s="13" t="s">
        <v>23</v>
      </c>
      <c r="E17" s="14">
        <v>5.0</v>
      </c>
      <c r="F17" s="14">
        <v>1.0</v>
      </c>
      <c r="G17" s="28" t="s">
        <v>165</v>
      </c>
    </row>
    <row r="18">
      <c r="A18" s="11">
        <f t="shared" si="1"/>
        <v>2</v>
      </c>
      <c r="B18" s="12">
        <v>45331.0</v>
      </c>
      <c r="C18" s="13" t="s">
        <v>166</v>
      </c>
      <c r="D18" s="13" t="s">
        <v>23</v>
      </c>
      <c r="E18" s="14">
        <v>2.0</v>
      </c>
      <c r="F18" s="14">
        <v>1.0</v>
      </c>
      <c r="G18" s="28" t="s">
        <v>167</v>
      </c>
    </row>
    <row r="19">
      <c r="A19" s="11">
        <f t="shared" si="1"/>
        <v>4</v>
      </c>
      <c r="B19" s="15" t="s">
        <v>168</v>
      </c>
      <c r="C19" s="13" t="s">
        <v>117</v>
      </c>
      <c r="D19" s="13" t="s">
        <v>23</v>
      </c>
      <c r="E19" s="14">
        <v>4.0</v>
      </c>
      <c r="F19" s="14">
        <v>1.0</v>
      </c>
      <c r="G19" s="28" t="s">
        <v>169</v>
      </c>
    </row>
    <row r="20">
      <c r="A20" s="11">
        <f t="shared" si="1"/>
        <v>2</v>
      </c>
      <c r="B20" s="15" t="s">
        <v>170</v>
      </c>
      <c r="C20" s="13" t="s">
        <v>171</v>
      </c>
      <c r="D20" s="13" t="s">
        <v>23</v>
      </c>
      <c r="E20" s="14">
        <v>2.0</v>
      </c>
      <c r="F20" s="14">
        <v>1.0</v>
      </c>
      <c r="G20" s="28" t="s">
        <v>172</v>
      </c>
    </row>
    <row r="21">
      <c r="A21" s="11">
        <f t="shared" si="1"/>
        <v>2</v>
      </c>
      <c r="B21" s="15" t="s">
        <v>173</v>
      </c>
      <c r="C21" s="13" t="s">
        <v>26</v>
      </c>
      <c r="D21" s="13" t="s">
        <v>23</v>
      </c>
      <c r="E21" s="14">
        <v>2.0</v>
      </c>
      <c r="F21" s="14">
        <v>1.0</v>
      </c>
      <c r="G21" s="28" t="s">
        <v>174</v>
      </c>
    </row>
    <row r="22">
      <c r="A22" s="11">
        <f t="shared" si="1"/>
        <v>5</v>
      </c>
      <c r="B22" s="31">
        <v>45359.0</v>
      </c>
      <c r="C22" s="13" t="s">
        <v>175</v>
      </c>
      <c r="D22" s="13" t="s">
        <v>176</v>
      </c>
      <c r="E22" s="14">
        <v>5.0</v>
      </c>
      <c r="F22" s="14">
        <v>1.0</v>
      </c>
      <c r="G22" s="28" t="s">
        <v>177</v>
      </c>
    </row>
    <row r="23">
      <c r="A23" s="11">
        <f t="shared" si="1"/>
        <v>77</v>
      </c>
      <c r="B23" s="15" t="s">
        <v>178</v>
      </c>
      <c r="C23" s="13" t="s">
        <v>179</v>
      </c>
      <c r="D23" s="13" t="s">
        <v>180</v>
      </c>
      <c r="E23" s="14">
        <v>11.0</v>
      </c>
      <c r="F23" s="14">
        <v>7.0</v>
      </c>
      <c r="G23" s="28" t="s">
        <v>181</v>
      </c>
    </row>
    <row r="24" ht="14.25" customHeight="1">
      <c r="A24" s="11">
        <f t="shared" si="1"/>
        <v>77</v>
      </c>
      <c r="B24" s="15" t="s">
        <v>182</v>
      </c>
      <c r="C24" s="13" t="s">
        <v>179</v>
      </c>
      <c r="D24" s="13" t="s">
        <v>180</v>
      </c>
      <c r="E24" s="14">
        <v>11.0</v>
      </c>
      <c r="F24" s="14">
        <v>7.0</v>
      </c>
      <c r="G24" s="28" t="s">
        <v>183</v>
      </c>
    </row>
    <row r="25">
      <c r="A25" s="11">
        <v>4.0</v>
      </c>
      <c r="B25" s="31">
        <v>45329.0</v>
      </c>
      <c r="C25" s="13" t="s">
        <v>104</v>
      </c>
      <c r="D25" s="13" t="s">
        <v>184</v>
      </c>
      <c r="E25" s="14">
        <v>4.0</v>
      </c>
      <c r="F25" s="14">
        <v>1.0</v>
      </c>
      <c r="G25" s="28" t="s">
        <v>185</v>
      </c>
    </row>
    <row r="26">
      <c r="A26" s="11">
        <f t="shared" ref="A26:A43" si="2">E26*F26</f>
        <v>9</v>
      </c>
      <c r="B26" s="31">
        <v>45510.0</v>
      </c>
      <c r="C26" s="13" t="s">
        <v>36</v>
      </c>
      <c r="D26" s="13" t="s">
        <v>91</v>
      </c>
      <c r="E26" s="14">
        <v>9.0</v>
      </c>
      <c r="F26" s="14">
        <v>1.0</v>
      </c>
      <c r="G26" s="28" t="s">
        <v>186</v>
      </c>
    </row>
    <row r="27">
      <c r="A27" s="11">
        <f t="shared" si="2"/>
        <v>3</v>
      </c>
      <c r="B27" s="15" t="s">
        <v>187</v>
      </c>
      <c r="C27" s="13" t="s">
        <v>188</v>
      </c>
      <c r="D27" s="13" t="s">
        <v>189</v>
      </c>
      <c r="E27" s="14">
        <v>3.0</v>
      </c>
      <c r="F27" s="38">
        <v>1.0</v>
      </c>
      <c r="G27" s="28" t="s">
        <v>190</v>
      </c>
    </row>
    <row r="28">
      <c r="A28" s="11">
        <f t="shared" si="2"/>
        <v>4</v>
      </c>
      <c r="B28" s="12">
        <v>45418.0</v>
      </c>
      <c r="C28" s="13" t="s">
        <v>191</v>
      </c>
      <c r="D28" s="13" t="s">
        <v>192</v>
      </c>
      <c r="E28" s="14">
        <v>4.0</v>
      </c>
      <c r="F28" s="14">
        <v>1.0</v>
      </c>
      <c r="G28" s="28" t="s">
        <v>193</v>
      </c>
    </row>
    <row r="29">
      <c r="A29" s="11">
        <f t="shared" si="2"/>
        <v>96</v>
      </c>
      <c r="B29" s="15" t="s">
        <v>194</v>
      </c>
      <c r="C29" s="13" t="s">
        <v>114</v>
      </c>
      <c r="D29" s="13" t="s">
        <v>195</v>
      </c>
      <c r="E29" s="14">
        <v>16.0</v>
      </c>
      <c r="F29" s="14">
        <v>6.0</v>
      </c>
      <c r="G29" s="28" t="s">
        <v>196</v>
      </c>
    </row>
    <row r="30">
      <c r="A30" s="11">
        <f t="shared" si="2"/>
        <v>49</v>
      </c>
      <c r="B30" s="15" t="s">
        <v>197</v>
      </c>
      <c r="C30" s="13" t="s">
        <v>198</v>
      </c>
      <c r="D30" s="13" t="s">
        <v>69</v>
      </c>
      <c r="E30" s="14">
        <v>7.0</v>
      </c>
      <c r="F30" s="14">
        <v>7.0</v>
      </c>
      <c r="G30" s="28" t="s">
        <v>199</v>
      </c>
    </row>
    <row r="31">
      <c r="A31" s="11">
        <f t="shared" si="2"/>
        <v>3</v>
      </c>
      <c r="B31" s="15" t="s">
        <v>200</v>
      </c>
      <c r="C31" s="13" t="s">
        <v>29</v>
      </c>
      <c r="D31" s="13" t="s">
        <v>87</v>
      </c>
      <c r="E31" s="14">
        <v>3.0</v>
      </c>
      <c r="F31" s="14">
        <v>1.0</v>
      </c>
      <c r="G31" s="28" t="s">
        <v>201</v>
      </c>
    </row>
    <row r="32">
      <c r="A32" s="11">
        <f t="shared" si="2"/>
        <v>4</v>
      </c>
      <c r="B32" s="12">
        <v>45601.0</v>
      </c>
      <c r="C32" s="13" t="s">
        <v>22</v>
      </c>
      <c r="D32" s="13" t="s">
        <v>23</v>
      </c>
      <c r="E32" s="14">
        <v>4.0</v>
      </c>
      <c r="F32" s="14">
        <v>1.0</v>
      </c>
      <c r="G32" s="28" t="s">
        <v>202</v>
      </c>
    </row>
    <row r="33">
      <c r="A33" s="11">
        <f t="shared" si="2"/>
        <v>5</v>
      </c>
      <c r="B33" s="12">
        <v>45540.0</v>
      </c>
      <c r="C33" s="13" t="s">
        <v>203</v>
      </c>
      <c r="D33" s="13" t="s">
        <v>192</v>
      </c>
      <c r="E33" s="14">
        <v>5.0</v>
      </c>
      <c r="F33" s="14">
        <v>1.0</v>
      </c>
      <c r="G33" s="28" t="s">
        <v>204</v>
      </c>
    </row>
    <row r="34">
      <c r="A34" s="11">
        <f t="shared" si="2"/>
        <v>4</v>
      </c>
      <c r="B34" s="12">
        <v>45509.0</v>
      </c>
      <c r="C34" s="13" t="s">
        <v>151</v>
      </c>
      <c r="D34" s="13" t="s">
        <v>205</v>
      </c>
      <c r="E34" s="14">
        <v>4.0</v>
      </c>
      <c r="F34" s="14">
        <v>1.0</v>
      </c>
      <c r="G34" s="28" t="s">
        <v>206</v>
      </c>
    </row>
    <row r="35">
      <c r="A35" s="11">
        <f t="shared" si="2"/>
        <v>7</v>
      </c>
      <c r="B35" s="15" t="s">
        <v>207</v>
      </c>
      <c r="C35" s="13" t="s">
        <v>151</v>
      </c>
      <c r="D35" s="13" t="s">
        <v>23</v>
      </c>
      <c r="E35" s="14">
        <v>7.0</v>
      </c>
      <c r="F35" s="14">
        <v>1.0</v>
      </c>
      <c r="G35" s="28" t="s">
        <v>208</v>
      </c>
    </row>
    <row r="36">
      <c r="A36" s="11">
        <f t="shared" si="2"/>
        <v>2</v>
      </c>
      <c r="B36" s="15" t="s">
        <v>209</v>
      </c>
      <c r="C36" s="13" t="s">
        <v>151</v>
      </c>
      <c r="D36" s="13" t="s">
        <v>14</v>
      </c>
      <c r="E36" s="14">
        <v>2.0</v>
      </c>
      <c r="F36" s="14">
        <v>1.0</v>
      </c>
      <c r="G36" s="28" t="s">
        <v>210</v>
      </c>
    </row>
    <row r="37">
      <c r="A37" s="11">
        <f t="shared" si="2"/>
        <v>3</v>
      </c>
      <c r="B37" s="15" t="s">
        <v>211</v>
      </c>
      <c r="C37" s="13" t="s">
        <v>151</v>
      </c>
      <c r="D37" s="13" t="s">
        <v>23</v>
      </c>
      <c r="E37" s="14">
        <v>3.0</v>
      </c>
      <c r="F37" s="14">
        <v>1.0</v>
      </c>
      <c r="G37" s="28" t="s">
        <v>212</v>
      </c>
    </row>
    <row r="38">
      <c r="A38" s="11">
        <f t="shared" si="2"/>
        <v>14</v>
      </c>
      <c r="B38" s="15" t="s">
        <v>213</v>
      </c>
      <c r="C38" s="13" t="s">
        <v>214</v>
      </c>
      <c r="D38" s="13" t="s">
        <v>23</v>
      </c>
      <c r="E38" s="14">
        <v>14.0</v>
      </c>
      <c r="F38" s="14">
        <v>1.0</v>
      </c>
      <c r="G38" s="28" t="s">
        <v>215</v>
      </c>
    </row>
    <row r="39">
      <c r="A39" s="11">
        <f t="shared" si="2"/>
        <v>6</v>
      </c>
      <c r="B39" s="15" t="s">
        <v>216</v>
      </c>
      <c r="C39" s="13" t="s">
        <v>34</v>
      </c>
      <c r="D39" s="13" t="s">
        <v>23</v>
      </c>
      <c r="E39" s="14">
        <v>6.0</v>
      </c>
      <c r="F39" s="14">
        <v>1.0</v>
      </c>
      <c r="G39" s="28" t="s">
        <v>217</v>
      </c>
    </row>
    <row r="40">
      <c r="A40" s="11">
        <f t="shared" si="2"/>
        <v>9</v>
      </c>
      <c r="B40" s="15" t="s">
        <v>218</v>
      </c>
      <c r="C40" s="13" t="s">
        <v>219</v>
      </c>
      <c r="D40" s="13" t="s">
        <v>23</v>
      </c>
      <c r="E40" s="14">
        <v>9.0</v>
      </c>
      <c r="F40" s="14">
        <v>1.0</v>
      </c>
      <c r="G40" s="28" t="s">
        <v>220</v>
      </c>
    </row>
    <row r="41">
      <c r="A41" s="11">
        <f t="shared" si="2"/>
        <v>6</v>
      </c>
      <c r="B41" s="12">
        <v>45476.0</v>
      </c>
      <c r="C41" s="13" t="s">
        <v>203</v>
      </c>
      <c r="D41" s="13" t="s">
        <v>221</v>
      </c>
      <c r="E41" s="14">
        <v>6.0</v>
      </c>
      <c r="F41" s="14">
        <v>1.0</v>
      </c>
      <c r="G41" s="28" t="s">
        <v>222</v>
      </c>
    </row>
    <row r="42">
      <c r="A42" s="11">
        <f t="shared" si="2"/>
        <v>18</v>
      </c>
      <c r="B42" s="15" t="s">
        <v>223</v>
      </c>
      <c r="C42" s="13" t="s">
        <v>148</v>
      </c>
      <c r="D42" s="13" t="s">
        <v>69</v>
      </c>
      <c r="E42" s="14">
        <v>2.0</v>
      </c>
      <c r="F42" s="14">
        <v>9.0</v>
      </c>
      <c r="G42" s="28" t="s">
        <v>224</v>
      </c>
    </row>
    <row r="43">
      <c r="A43" s="11">
        <f t="shared" si="2"/>
        <v>3</v>
      </c>
      <c r="B43" s="39">
        <v>45385.0</v>
      </c>
      <c r="C43" s="13" t="s">
        <v>225</v>
      </c>
      <c r="D43" s="13" t="s">
        <v>78</v>
      </c>
      <c r="E43" s="14">
        <v>3.0</v>
      </c>
      <c r="F43" s="14">
        <v>1.0</v>
      </c>
      <c r="G43" s="28" t="s">
        <v>226</v>
      </c>
    </row>
    <row r="44">
      <c r="A44" s="16">
        <v>4.0</v>
      </c>
      <c r="B44" s="39">
        <v>45384.0</v>
      </c>
      <c r="C44" s="40" t="s">
        <v>227</v>
      </c>
      <c r="D44" s="40" t="s">
        <v>228</v>
      </c>
      <c r="E44" s="30">
        <v>4.0</v>
      </c>
      <c r="F44" s="30">
        <v>1.0</v>
      </c>
      <c r="G44" s="16" t="s">
        <v>229</v>
      </c>
    </row>
    <row r="45">
      <c r="A45" s="11">
        <f>E45*F45</f>
        <v>5</v>
      </c>
      <c r="B45" s="31">
        <v>45597.0</v>
      </c>
      <c r="C45" s="13" t="s">
        <v>41</v>
      </c>
      <c r="D45" s="13" t="s">
        <v>23</v>
      </c>
      <c r="E45" s="14">
        <v>5.0</v>
      </c>
      <c r="F45" s="14">
        <v>1.0</v>
      </c>
      <c r="G45" s="28" t="s">
        <v>230</v>
      </c>
    </row>
    <row r="46">
      <c r="B46" s="21"/>
      <c r="C46" s="34"/>
      <c r="D46" s="41"/>
      <c r="E46" s="22"/>
      <c r="F46" s="22"/>
    </row>
    <row r="47">
      <c r="B47" s="22" t="s">
        <v>231</v>
      </c>
      <c r="C47" s="37">
        <v>9.0</v>
      </c>
      <c r="D47" s="18">
        <f>A42+A29+A30 +A24+A23+A16+A12+A15+A9</f>
        <v>462</v>
      </c>
      <c r="E47" s="19"/>
      <c r="F47" s="19"/>
    </row>
    <row r="48">
      <c r="B48" s="22" t="s">
        <v>232</v>
      </c>
      <c r="C48" s="37">
        <v>30.0</v>
      </c>
      <c r="D48" s="42">
        <f>A1-D47</f>
        <v>157</v>
      </c>
      <c r="E48" s="19"/>
      <c r="F48" s="19"/>
    </row>
    <row r="49">
      <c r="B49" s="17"/>
      <c r="D49" s="18"/>
      <c r="E49" s="19"/>
      <c r="F49" s="19"/>
    </row>
    <row r="50">
      <c r="B50" s="17"/>
      <c r="D50" s="18"/>
      <c r="E50" s="19"/>
      <c r="F50" s="19"/>
    </row>
    <row r="51">
      <c r="B51" s="17"/>
      <c r="D51" s="18"/>
      <c r="E51" s="19"/>
      <c r="F51" s="19"/>
    </row>
    <row r="52">
      <c r="B52" s="17"/>
      <c r="D52" s="18"/>
      <c r="E52" s="19"/>
      <c r="F52" s="19"/>
    </row>
    <row r="53">
      <c r="B53" s="17"/>
      <c r="D53" s="18"/>
      <c r="E53" s="19"/>
      <c r="F53" s="19"/>
    </row>
    <row r="54">
      <c r="B54" s="17"/>
      <c r="D54" s="18"/>
      <c r="E54" s="19"/>
      <c r="F54" s="19"/>
    </row>
    <row r="55">
      <c r="B55" s="17"/>
      <c r="D55" s="18"/>
      <c r="E55" s="19"/>
      <c r="F55" s="19"/>
    </row>
    <row r="56">
      <c r="B56" s="17"/>
      <c r="D56" s="18"/>
      <c r="E56" s="19"/>
      <c r="F56" s="19"/>
    </row>
    <row r="57">
      <c r="B57" s="17"/>
      <c r="D57" s="18"/>
      <c r="E57" s="19"/>
      <c r="F57" s="19"/>
    </row>
    <row r="58">
      <c r="B58" s="17"/>
      <c r="D58" s="18"/>
      <c r="E58" s="19"/>
      <c r="F58" s="19"/>
    </row>
    <row r="59">
      <c r="B59" s="21"/>
      <c r="D59" s="18"/>
      <c r="E59" s="19"/>
      <c r="F59" s="19"/>
    </row>
    <row r="60">
      <c r="B60" s="22"/>
      <c r="D60" s="18"/>
      <c r="E60" s="19"/>
      <c r="F60" s="19"/>
    </row>
    <row r="61">
      <c r="B61" s="22"/>
      <c r="D61" s="18"/>
      <c r="E61" s="19"/>
      <c r="F61" s="19"/>
    </row>
    <row r="62">
      <c r="B62" s="22"/>
      <c r="D62" s="18"/>
      <c r="E62" s="19"/>
      <c r="F62" s="19"/>
    </row>
    <row r="63">
      <c r="B63" s="17"/>
      <c r="D63" s="18"/>
      <c r="E63" s="19"/>
      <c r="F63" s="23"/>
    </row>
    <row r="64">
      <c r="B64" s="17"/>
      <c r="D64" s="18"/>
      <c r="E64" s="19"/>
      <c r="F64" s="19"/>
    </row>
    <row r="65">
      <c r="B65" s="17"/>
      <c r="D65" s="24"/>
      <c r="E65" s="19"/>
      <c r="F65" s="22"/>
      <c r="G65" s="25"/>
    </row>
    <row r="66">
      <c r="B66" s="17"/>
      <c r="D66" s="24"/>
      <c r="E66" s="19"/>
      <c r="F66" s="22"/>
      <c r="G66" s="25"/>
    </row>
    <row r="67">
      <c r="B67" s="17"/>
      <c r="D67" s="24"/>
      <c r="E67" s="19"/>
      <c r="F67" s="22"/>
      <c r="G67" s="25"/>
    </row>
    <row r="68">
      <c r="B68" s="17"/>
      <c r="D68" s="24"/>
      <c r="E68" s="19"/>
      <c r="F68" s="22"/>
      <c r="G68" s="25"/>
    </row>
    <row r="69">
      <c r="B69" s="17"/>
      <c r="D69" s="24"/>
      <c r="E69" s="19"/>
      <c r="F69" s="22"/>
      <c r="G69" s="25"/>
    </row>
    <row r="70">
      <c r="B70" s="17"/>
      <c r="D70" s="24"/>
      <c r="E70" s="19"/>
      <c r="F70" s="22"/>
      <c r="G70" s="25"/>
    </row>
    <row r="71">
      <c r="B71" s="17"/>
      <c r="D71" s="24"/>
      <c r="E71" s="19"/>
      <c r="F71" s="22"/>
      <c r="G71" s="25"/>
    </row>
    <row r="72">
      <c r="B72" s="17"/>
      <c r="D72" s="24"/>
      <c r="E72" s="19"/>
      <c r="F72" s="22"/>
      <c r="G72" s="25"/>
    </row>
    <row r="73">
      <c r="B73" s="17"/>
      <c r="D73" s="24"/>
      <c r="E73" s="19"/>
      <c r="F73" s="22"/>
      <c r="G73" s="25"/>
    </row>
    <row r="74">
      <c r="B74" s="17"/>
      <c r="D74" s="24"/>
      <c r="E74" s="19"/>
      <c r="F74" s="22"/>
      <c r="G74" s="25"/>
    </row>
    <row r="75">
      <c r="B75" s="17"/>
      <c r="D75" s="24"/>
      <c r="E75" s="19"/>
      <c r="F75" s="22"/>
      <c r="G75" s="25"/>
    </row>
    <row r="76">
      <c r="B76" s="17"/>
      <c r="D76" s="24"/>
      <c r="E76" s="19"/>
      <c r="F76" s="22"/>
      <c r="G76" s="25"/>
    </row>
    <row r="77">
      <c r="B77" s="17"/>
      <c r="D77" s="18"/>
      <c r="E77" s="19"/>
      <c r="F77" s="19"/>
    </row>
    <row r="78">
      <c r="B78" s="26"/>
      <c r="D78" s="18"/>
      <c r="E78" s="19"/>
      <c r="G78" s="27"/>
    </row>
    <row r="79">
      <c r="B79" s="26"/>
      <c r="D79" s="18"/>
      <c r="E79" s="19"/>
      <c r="F79" s="19"/>
    </row>
    <row r="80">
      <c r="B80" s="26"/>
      <c r="D80" s="18"/>
      <c r="E80" s="19"/>
      <c r="F80" s="19"/>
    </row>
    <row r="81">
      <c r="B81" s="26"/>
      <c r="D81" s="18"/>
      <c r="E81" s="19"/>
      <c r="F81" s="19"/>
    </row>
    <row r="82">
      <c r="B82" s="26"/>
      <c r="D82" s="18"/>
      <c r="E82" s="19"/>
      <c r="F82" s="19"/>
    </row>
    <row r="83">
      <c r="B83" s="26"/>
      <c r="D83" s="18"/>
      <c r="E83" s="19"/>
      <c r="F83" s="19"/>
    </row>
    <row r="84">
      <c r="B84" s="26"/>
      <c r="D84" s="18"/>
      <c r="E84" s="19"/>
      <c r="F84" s="19"/>
    </row>
    <row r="85">
      <c r="B85" s="26"/>
      <c r="D85" s="18"/>
      <c r="E85" s="19"/>
      <c r="F85" s="19"/>
    </row>
    <row r="86">
      <c r="B86" s="26"/>
      <c r="D86" s="18"/>
      <c r="E86" s="19"/>
      <c r="F86" s="19"/>
    </row>
    <row r="87">
      <c r="B87" s="26"/>
      <c r="D87" s="18"/>
      <c r="E87" s="19"/>
      <c r="F87" s="19"/>
    </row>
    <row r="88">
      <c r="B88" s="26"/>
      <c r="D88" s="18"/>
      <c r="E88" s="19"/>
      <c r="F88" s="19"/>
    </row>
    <row r="89">
      <c r="B89" s="26"/>
      <c r="D89" s="18"/>
      <c r="E89" s="19"/>
      <c r="F89" s="19"/>
    </row>
    <row r="90">
      <c r="B90" s="26"/>
      <c r="D90" s="18"/>
      <c r="E90" s="19"/>
      <c r="F90" s="19"/>
    </row>
    <row r="91">
      <c r="B91" s="26"/>
      <c r="D91" s="18"/>
      <c r="E91" s="19"/>
      <c r="F91" s="19"/>
    </row>
    <row r="92">
      <c r="B92" s="26"/>
      <c r="D92" s="18"/>
      <c r="E92" s="19"/>
      <c r="F92" s="19"/>
    </row>
    <row r="93">
      <c r="B93" s="26"/>
      <c r="D93" s="18"/>
      <c r="E93" s="19"/>
      <c r="F93" s="19"/>
    </row>
    <row r="94">
      <c r="B94" s="26"/>
      <c r="D94" s="18"/>
      <c r="E94" s="19"/>
      <c r="F94" s="19"/>
    </row>
    <row r="95">
      <c r="B95" s="26"/>
      <c r="D95" s="18"/>
      <c r="E95" s="19"/>
      <c r="F95" s="19"/>
    </row>
    <row r="96">
      <c r="B96" s="26"/>
      <c r="D96" s="18"/>
      <c r="E96" s="19"/>
      <c r="F96" s="19"/>
    </row>
    <row r="97">
      <c r="B97" s="26"/>
      <c r="D97" s="18"/>
      <c r="E97" s="19"/>
      <c r="F97" s="19"/>
    </row>
    <row r="98">
      <c r="B98" s="26"/>
      <c r="D98" s="18"/>
      <c r="E98" s="19"/>
      <c r="F98" s="19"/>
    </row>
    <row r="99">
      <c r="B99" s="26"/>
      <c r="D99" s="18"/>
      <c r="E99" s="19"/>
      <c r="F99" s="19"/>
    </row>
    <row r="100">
      <c r="B100" s="26"/>
      <c r="D100" s="18"/>
      <c r="E100" s="19"/>
      <c r="F100" s="19"/>
    </row>
    <row r="101">
      <c r="B101" s="26"/>
      <c r="D101" s="18"/>
      <c r="E101" s="19"/>
      <c r="F101" s="19"/>
    </row>
    <row r="102">
      <c r="B102" s="26"/>
      <c r="D102" s="18"/>
      <c r="E102" s="19"/>
      <c r="F102" s="19"/>
    </row>
    <row r="103">
      <c r="B103" s="26"/>
      <c r="D103" s="18"/>
      <c r="E103" s="19"/>
      <c r="F103" s="19"/>
    </row>
    <row r="104">
      <c r="B104" s="26"/>
      <c r="D104" s="18"/>
      <c r="E104" s="19"/>
      <c r="F104" s="19"/>
    </row>
    <row r="105">
      <c r="B105" s="26"/>
      <c r="D105" s="18"/>
      <c r="E105" s="19"/>
      <c r="F105" s="19"/>
    </row>
    <row r="106">
      <c r="B106" s="26"/>
      <c r="D106" s="18"/>
      <c r="E106" s="19"/>
      <c r="F106" s="19"/>
    </row>
    <row r="107">
      <c r="B107" s="26"/>
      <c r="D107" s="18"/>
      <c r="E107" s="19"/>
      <c r="F107" s="19"/>
    </row>
    <row r="108">
      <c r="B108" s="26"/>
      <c r="D108" s="18"/>
      <c r="E108" s="19"/>
      <c r="F108" s="19"/>
    </row>
    <row r="109">
      <c r="B109" s="26"/>
      <c r="D109" s="18"/>
      <c r="E109" s="19"/>
      <c r="F109" s="19"/>
    </row>
    <row r="110">
      <c r="B110" s="26"/>
      <c r="D110" s="18"/>
      <c r="E110" s="19"/>
      <c r="F110" s="19"/>
    </row>
    <row r="111">
      <c r="B111" s="26"/>
      <c r="D111" s="18"/>
      <c r="E111" s="19"/>
      <c r="F111" s="19"/>
    </row>
    <row r="112">
      <c r="B112" s="26"/>
      <c r="D112" s="18"/>
      <c r="E112" s="19"/>
      <c r="F112" s="19"/>
    </row>
    <row r="113">
      <c r="B113" s="26"/>
      <c r="D113" s="18"/>
      <c r="E113" s="19"/>
      <c r="F113" s="19"/>
    </row>
    <row r="114">
      <c r="B114" s="26"/>
      <c r="D114" s="18"/>
      <c r="E114" s="19"/>
      <c r="F114" s="19"/>
    </row>
    <row r="115">
      <c r="B115" s="26"/>
      <c r="D115" s="18"/>
      <c r="E115" s="19"/>
      <c r="F115" s="19"/>
    </row>
    <row r="116">
      <c r="B116" s="26"/>
      <c r="D116" s="18"/>
      <c r="E116" s="19"/>
      <c r="F116" s="19"/>
    </row>
    <row r="117">
      <c r="B117" s="26"/>
      <c r="D117" s="18"/>
      <c r="E117" s="19"/>
      <c r="F117" s="19"/>
    </row>
    <row r="118">
      <c r="B118" s="26"/>
      <c r="D118" s="18"/>
      <c r="E118" s="19"/>
      <c r="F118" s="19"/>
    </row>
    <row r="119">
      <c r="B119" s="26"/>
      <c r="D119" s="18"/>
      <c r="E119" s="19"/>
      <c r="F119" s="19"/>
    </row>
    <row r="120">
      <c r="B120" s="26"/>
      <c r="D120" s="18"/>
      <c r="E120" s="19"/>
      <c r="F120" s="19"/>
    </row>
    <row r="121">
      <c r="B121" s="26"/>
      <c r="D121" s="18"/>
      <c r="E121" s="19"/>
      <c r="F121" s="19"/>
    </row>
    <row r="122">
      <c r="B122" s="26"/>
      <c r="D122" s="18"/>
      <c r="E122" s="19"/>
      <c r="F122" s="19"/>
    </row>
    <row r="123">
      <c r="B123" s="26"/>
      <c r="D123" s="18"/>
      <c r="E123" s="19"/>
      <c r="F123" s="19"/>
    </row>
    <row r="124">
      <c r="B124" s="26"/>
      <c r="D124" s="18"/>
      <c r="E124" s="19"/>
      <c r="F124" s="19"/>
    </row>
    <row r="125">
      <c r="B125" s="26"/>
      <c r="D125" s="18"/>
      <c r="E125" s="19"/>
      <c r="F125" s="19"/>
    </row>
    <row r="126">
      <c r="B126" s="26"/>
      <c r="D126" s="18"/>
      <c r="E126" s="19"/>
      <c r="F126" s="19"/>
    </row>
    <row r="127">
      <c r="B127" s="26"/>
      <c r="D127" s="18"/>
      <c r="E127" s="19"/>
      <c r="F127" s="19"/>
    </row>
    <row r="128">
      <c r="B128" s="26"/>
      <c r="D128" s="18"/>
      <c r="E128" s="19"/>
      <c r="F128" s="19"/>
    </row>
    <row r="129">
      <c r="B129" s="26"/>
      <c r="D129" s="18"/>
      <c r="E129" s="19"/>
      <c r="F129" s="19"/>
    </row>
    <row r="130">
      <c r="B130" s="26"/>
      <c r="D130" s="18"/>
      <c r="E130" s="19"/>
      <c r="F130" s="19"/>
    </row>
    <row r="131">
      <c r="B131" s="26"/>
      <c r="D131" s="18"/>
      <c r="E131" s="19"/>
      <c r="F131" s="19"/>
    </row>
    <row r="132">
      <c r="B132" s="26"/>
      <c r="D132" s="18"/>
      <c r="E132" s="19"/>
      <c r="F132" s="19"/>
    </row>
    <row r="133">
      <c r="B133" s="26"/>
      <c r="D133" s="18"/>
      <c r="E133" s="19"/>
      <c r="F133" s="19"/>
    </row>
    <row r="134">
      <c r="B134" s="26"/>
      <c r="D134" s="18"/>
      <c r="E134" s="19"/>
      <c r="F134" s="19"/>
    </row>
    <row r="135">
      <c r="B135" s="26"/>
      <c r="D135" s="18"/>
      <c r="E135" s="19"/>
      <c r="F135" s="19"/>
    </row>
    <row r="136">
      <c r="B136" s="26"/>
      <c r="D136" s="18"/>
      <c r="E136" s="19"/>
      <c r="F136" s="19"/>
    </row>
    <row r="137">
      <c r="B137" s="26"/>
      <c r="D137" s="18"/>
      <c r="E137" s="19"/>
      <c r="F137" s="19"/>
    </row>
    <row r="138">
      <c r="B138" s="26"/>
      <c r="D138" s="18"/>
      <c r="E138" s="19"/>
      <c r="F138" s="19"/>
    </row>
    <row r="139">
      <c r="B139" s="26"/>
      <c r="D139" s="18"/>
      <c r="E139" s="19"/>
      <c r="F139" s="19"/>
    </row>
    <row r="140">
      <c r="B140" s="26"/>
      <c r="D140" s="18"/>
      <c r="E140" s="19"/>
      <c r="F140" s="19"/>
    </row>
    <row r="141">
      <c r="B141" s="26"/>
      <c r="D141" s="18"/>
      <c r="E141" s="19"/>
      <c r="F141" s="19"/>
    </row>
    <row r="142">
      <c r="B142" s="26"/>
      <c r="D142" s="18"/>
      <c r="E142" s="19"/>
      <c r="F142" s="19"/>
    </row>
    <row r="143">
      <c r="B143" s="26"/>
      <c r="D143" s="18"/>
      <c r="E143" s="19"/>
      <c r="F143" s="19"/>
    </row>
    <row r="144">
      <c r="B144" s="26"/>
      <c r="D144" s="18"/>
      <c r="E144" s="19"/>
      <c r="F144" s="19"/>
    </row>
    <row r="145">
      <c r="B145" s="26"/>
      <c r="D145" s="18"/>
      <c r="E145" s="19"/>
      <c r="F145" s="19"/>
    </row>
    <row r="146">
      <c r="B146" s="26"/>
      <c r="D146" s="18"/>
      <c r="E146" s="19"/>
      <c r="F146" s="19"/>
    </row>
    <row r="147">
      <c r="B147" s="26"/>
      <c r="D147" s="18"/>
      <c r="E147" s="19"/>
      <c r="F147" s="19"/>
    </row>
    <row r="148">
      <c r="B148" s="26"/>
      <c r="D148" s="18"/>
      <c r="E148" s="19"/>
      <c r="F148" s="19"/>
    </row>
    <row r="149">
      <c r="B149" s="26"/>
      <c r="D149" s="18"/>
      <c r="E149" s="19"/>
      <c r="F149" s="19"/>
    </row>
    <row r="150">
      <c r="B150" s="26"/>
      <c r="D150" s="18"/>
      <c r="E150" s="19"/>
      <c r="F150" s="19"/>
    </row>
    <row r="151">
      <c r="B151" s="26"/>
      <c r="D151" s="18"/>
      <c r="E151" s="19"/>
      <c r="F151" s="19"/>
    </row>
    <row r="152">
      <c r="B152" s="26"/>
      <c r="D152" s="18"/>
      <c r="E152" s="19"/>
      <c r="F152" s="19"/>
    </row>
    <row r="153">
      <c r="B153" s="26"/>
      <c r="D153" s="18"/>
      <c r="E153" s="19"/>
      <c r="F153" s="19"/>
    </row>
    <row r="154">
      <c r="B154" s="26"/>
      <c r="D154" s="18"/>
      <c r="E154" s="19"/>
      <c r="F154" s="19"/>
    </row>
    <row r="155">
      <c r="B155" s="26"/>
      <c r="D155" s="18"/>
      <c r="E155" s="19"/>
      <c r="F155" s="19"/>
    </row>
    <row r="156">
      <c r="B156" s="26"/>
      <c r="D156" s="18"/>
      <c r="E156" s="19"/>
      <c r="F156" s="19"/>
    </row>
    <row r="157">
      <c r="B157" s="26"/>
      <c r="D157" s="18"/>
      <c r="E157" s="19"/>
      <c r="F157" s="19"/>
    </row>
    <row r="158">
      <c r="B158" s="26"/>
      <c r="D158" s="18"/>
      <c r="E158" s="19"/>
      <c r="F158" s="19"/>
    </row>
    <row r="159">
      <c r="B159" s="26"/>
      <c r="D159" s="18"/>
      <c r="E159" s="19"/>
      <c r="F159" s="19"/>
    </row>
    <row r="160">
      <c r="B160" s="26"/>
      <c r="D160" s="18"/>
      <c r="E160" s="19"/>
      <c r="F160" s="19"/>
    </row>
    <row r="161">
      <c r="B161" s="26"/>
      <c r="D161" s="18"/>
      <c r="E161" s="19"/>
      <c r="F161" s="19"/>
    </row>
    <row r="162">
      <c r="B162" s="26"/>
      <c r="D162" s="18"/>
      <c r="E162" s="19"/>
      <c r="F162" s="19"/>
    </row>
    <row r="163">
      <c r="B163" s="26"/>
      <c r="D163" s="18"/>
      <c r="E163" s="19"/>
      <c r="F163" s="19"/>
    </row>
    <row r="164">
      <c r="B164" s="26"/>
      <c r="D164" s="18"/>
      <c r="E164" s="19"/>
      <c r="F164" s="19"/>
    </row>
    <row r="165">
      <c r="B165" s="26"/>
      <c r="D165" s="18"/>
      <c r="E165" s="19"/>
      <c r="F165" s="19"/>
    </row>
    <row r="166">
      <c r="B166" s="26"/>
      <c r="D166" s="18"/>
      <c r="E166" s="19"/>
      <c r="F166" s="19"/>
    </row>
    <row r="167">
      <c r="B167" s="26"/>
      <c r="D167" s="18"/>
      <c r="E167" s="19"/>
      <c r="F167" s="19"/>
    </row>
    <row r="168">
      <c r="B168" s="26"/>
      <c r="D168" s="18"/>
      <c r="E168" s="19"/>
      <c r="F168" s="19"/>
    </row>
    <row r="169">
      <c r="B169" s="26"/>
      <c r="D169" s="18"/>
      <c r="E169" s="19"/>
      <c r="F169" s="19"/>
    </row>
    <row r="170">
      <c r="B170" s="26"/>
      <c r="D170" s="18"/>
      <c r="E170" s="19"/>
      <c r="F170" s="19"/>
    </row>
    <row r="171">
      <c r="B171" s="26"/>
      <c r="D171" s="18"/>
      <c r="E171" s="19"/>
      <c r="F171" s="19"/>
    </row>
    <row r="172">
      <c r="B172" s="26"/>
      <c r="D172" s="18"/>
      <c r="E172" s="19"/>
      <c r="F172" s="19"/>
    </row>
    <row r="173">
      <c r="B173" s="26"/>
      <c r="D173" s="18"/>
      <c r="E173" s="19"/>
      <c r="F173" s="19"/>
    </row>
    <row r="174">
      <c r="B174" s="26"/>
      <c r="D174" s="18"/>
      <c r="E174" s="19"/>
      <c r="F174" s="19"/>
    </row>
    <row r="175">
      <c r="B175" s="26"/>
      <c r="D175" s="18"/>
      <c r="E175" s="19"/>
      <c r="F175" s="19"/>
    </row>
    <row r="176">
      <c r="B176" s="26"/>
      <c r="D176" s="18"/>
      <c r="E176" s="19"/>
      <c r="F176" s="19"/>
    </row>
    <row r="177">
      <c r="B177" s="26"/>
      <c r="D177" s="18"/>
      <c r="E177" s="19"/>
      <c r="F177" s="19"/>
    </row>
    <row r="178">
      <c r="B178" s="26"/>
      <c r="D178" s="18"/>
      <c r="E178" s="19"/>
      <c r="F178" s="19"/>
    </row>
    <row r="179">
      <c r="B179" s="26"/>
      <c r="D179" s="18"/>
      <c r="E179" s="19"/>
      <c r="F179" s="19"/>
    </row>
    <row r="180">
      <c r="B180" s="26"/>
      <c r="D180" s="18"/>
      <c r="E180" s="19"/>
      <c r="F180" s="19"/>
    </row>
    <row r="181">
      <c r="B181" s="26"/>
      <c r="D181" s="18"/>
      <c r="E181" s="19"/>
      <c r="F181" s="19"/>
    </row>
    <row r="182">
      <c r="B182" s="26"/>
      <c r="D182" s="18"/>
      <c r="E182" s="19"/>
      <c r="F182" s="19"/>
    </row>
    <row r="183">
      <c r="B183" s="26"/>
      <c r="D183" s="18"/>
      <c r="E183" s="19"/>
      <c r="F183" s="19"/>
    </row>
    <row r="184">
      <c r="B184" s="26"/>
      <c r="D184" s="18"/>
      <c r="E184" s="19"/>
      <c r="F184" s="19"/>
    </row>
    <row r="185">
      <c r="B185" s="26"/>
      <c r="D185" s="18"/>
      <c r="E185" s="19"/>
      <c r="F185" s="19"/>
    </row>
    <row r="186">
      <c r="B186" s="26"/>
      <c r="D186" s="18"/>
      <c r="E186" s="19"/>
      <c r="F186" s="19"/>
    </row>
    <row r="187">
      <c r="B187" s="26"/>
      <c r="D187" s="18"/>
      <c r="E187" s="19"/>
      <c r="F187" s="19"/>
    </row>
    <row r="188">
      <c r="B188" s="26"/>
      <c r="D188" s="18"/>
      <c r="E188" s="19"/>
      <c r="F188" s="19"/>
    </row>
    <row r="189">
      <c r="B189" s="26"/>
      <c r="D189" s="18"/>
      <c r="E189" s="19"/>
      <c r="F189" s="19"/>
    </row>
    <row r="190">
      <c r="B190" s="26"/>
      <c r="D190" s="18"/>
      <c r="E190" s="19"/>
      <c r="F190" s="19"/>
    </row>
    <row r="191">
      <c r="B191" s="26"/>
      <c r="D191" s="18"/>
      <c r="E191" s="19"/>
      <c r="F191" s="19"/>
    </row>
    <row r="192">
      <c r="B192" s="26"/>
      <c r="D192" s="18"/>
      <c r="E192" s="19"/>
      <c r="F192" s="19"/>
    </row>
    <row r="193">
      <c r="B193" s="26"/>
      <c r="D193" s="18"/>
      <c r="E193" s="19"/>
      <c r="F193" s="19"/>
    </row>
    <row r="194">
      <c r="B194" s="26"/>
      <c r="D194" s="18"/>
      <c r="E194" s="19"/>
      <c r="F194" s="19"/>
    </row>
    <row r="195">
      <c r="B195" s="26"/>
      <c r="D195" s="18"/>
      <c r="E195" s="19"/>
      <c r="F195" s="19"/>
    </row>
    <row r="196">
      <c r="B196" s="26"/>
      <c r="D196" s="18"/>
      <c r="E196" s="19"/>
      <c r="F196" s="19"/>
    </row>
    <row r="197">
      <c r="B197" s="26"/>
      <c r="D197" s="18"/>
      <c r="E197" s="19"/>
      <c r="F197" s="19"/>
    </row>
    <row r="198">
      <c r="B198" s="26"/>
      <c r="D198" s="18"/>
      <c r="E198" s="19"/>
      <c r="F198" s="19"/>
    </row>
    <row r="199">
      <c r="B199" s="26"/>
      <c r="D199" s="18"/>
      <c r="E199" s="19"/>
      <c r="F199" s="19"/>
    </row>
    <row r="200">
      <c r="B200" s="26"/>
      <c r="D200" s="18"/>
      <c r="E200" s="19"/>
      <c r="F200" s="19"/>
    </row>
    <row r="201">
      <c r="B201" s="26"/>
      <c r="D201" s="18"/>
      <c r="E201" s="19"/>
      <c r="F201" s="19"/>
    </row>
    <row r="202">
      <c r="B202" s="26"/>
      <c r="D202" s="18"/>
      <c r="E202" s="19"/>
      <c r="F202" s="19"/>
    </row>
    <row r="203">
      <c r="B203" s="26"/>
      <c r="D203" s="18"/>
      <c r="E203" s="19"/>
      <c r="F203" s="19"/>
    </row>
    <row r="204">
      <c r="B204" s="26"/>
      <c r="D204" s="18"/>
      <c r="E204" s="19"/>
      <c r="F204" s="19"/>
    </row>
    <row r="205">
      <c r="B205" s="26"/>
      <c r="D205" s="18"/>
      <c r="E205" s="19"/>
      <c r="F205" s="19"/>
    </row>
    <row r="206">
      <c r="B206" s="26"/>
      <c r="D206" s="18"/>
      <c r="E206" s="19"/>
      <c r="F206" s="19"/>
    </row>
    <row r="207">
      <c r="B207" s="26"/>
      <c r="D207" s="18"/>
      <c r="E207" s="19"/>
      <c r="F207" s="19"/>
    </row>
    <row r="208">
      <c r="B208" s="26"/>
      <c r="D208" s="18"/>
      <c r="E208" s="19"/>
      <c r="F208" s="19"/>
    </row>
    <row r="209">
      <c r="B209" s="26"/>
      <c r="D209" s="18"/>
      <c r="E209" s="19"/>
      <c r="F209" s="19"/>
    </row>
    <row r="210">
      <c r="B210" s="26"/>
      <c r="D210" s="18"/>
      <c r="E210" s="19"/>
      <c r="F210" s="19"/>
    </row>
    <row r="211">
      <c r="B211" s="26"/>
      <c r="D211" s="18"/>
      <c r="E211" s="19"/>
      <c r="F211" s="19"/>
    </row>
    <row r="212">
      <c r="B212" s="26"/>
      <c r="D212" s="18"/>
      <c r="E212" s="19"/>
      <c r="F212" s="19"/>
    </row>
    <row r="213">
      <c r="B213" s="26"/>
      <c r="D213" s="18"/>
      <c r="E213" s="19"/>
      <c r="F213" s="19"/>
    </row>
    <row r="214">
      <c r="B214" s="26"/>
      <c r="D214" s="18"/>
      <c r="E214" s="19"/>
      <c r="F214" s="19"/>
    </row>
    <row r="215">
      <c r="B215" s="26"/>
      <c r="D215" s="18"/>
      <c r="E215" s="19"/>
      <c r="F215" s="19"/>
    </row>
    <row r="216">
      <c r="B216" s="26"/>
      <c r="D216" s="18"/>
      <c r="E216" s="19"/>
      <c r="F216" s="19"/>
    </row>
    <row r="217">
      <c r="B217" s="26"/>
      <c r="D217" s="18"/>
      <c r="E217" s="19"/>
      <c r="F217" s="19"/>
    </row>
    <row r="218">
      <c r="B218" s="26"/>
      <c r="D218" s="18"/>
      <c r="E218" s="19"/>
      <c r="F218" s="19"/>
    </row>
    <row r="219">
      <c r="B219" s="26"/>
      <c r="D219" s="18"/>
      <c r="E219" s="19"/>
      <c r="F219" s="19"/>
    </row>
    <row r="220">
      <c r="B220" s="26"/>
      <c r="D220" s="18"/>
      <c r="E220" s="19"/>
      <c r="F220" s="19"/>
    </row>
    <row r="221">
      <c r="B221" s="26"/>
      <c r="D221" s="18"/>
      <c r="E221" s="19"/>
      <c r="F221" s="19"/>
    </row>
    <row r="222">
      <c r="B222" s="26"/>
      <c r="D222" s="18"/>
      <c r="E222" s="19"/>
      <c r="F222" s="19"/>
    </row>
    <row r="223">
      <c r="B223" s="26"/>
      <c r="D223" s="18"/>
      <c r="E223" s="19"/>
      <c r="F223" s="19"/>
    </row>
    <row r="224">
      <c r="B224" s="26"/>
      <c r="D224" s="18"/>
      <c r="E224" s="19"/>
      <c r="F224" s="19"/>
    </row>
    <row r="225">
      <c r="B225" s="26"/>
      <c r="D225" s="18"/>
      <c r="E225" s="19"/>
      <c r="F225" s="19"/>
    </row>
    <row r="226">
      <c r="B226" s="26"/>
      <c r="D226" s="18"/>
      <c r="E226" s="19"/>
      <c r="F226" s="19"/>
    </row>
    <row r="227">
      <c r="B227" s="26"/>
      <c r="D227" s="18"/>
      <c r="E227" s="19"/>
      <c r="F227" s="19"/>
    </row>
    <row r="228">
      <c r="B228" s="26"/>
      <c r="D228" s="18"/>
      <c r="E228" s="19"/>
      <c r="F228" s="19"/>
    </row>
    <row r="229">
      <c r="B229" s="26"/>
      <c r="D229" s="18"/>
      <c r="E229" s="19"/>
      <c r="F229" s="19"/>
    </row>
    <row r="230">
      <c r="B230" s="26"/>
      <c r="D230" s="18"/>
      <c r="E230" s="19"/>
      <c r="F230" s="19"/>
    </row>
    <row r="231">
      <c r="B231" s="26"/>
      <c r="D231" s="18"/>
      <c r="E231" s="19"/>
      <c r="F231" s="19"/>
    </row>
    <row r="232">
      <c r="B232" s="26"/>
      <c r="D232" s="18"/>
      <c r="E232" s="19"/>
      <c r="F232" s="19"/>
    </row>
    <row r="233">
      <c r="B233" s="26"/>
      <c r="D233" s="18"/>
      <c r="E233" s="19"/>
      <c r="F233" s="19"/>
    </row>
    <row r="234">
      <c r="B234" s="26"/>
      <c r="D234" s="18"/>
      <c r="E234" s="19"/>
      <c r="F234" s="19"/>
    </row>
    <row r="235">
      <c r="B235" s="26"/>
      <c r="D235" s="18"/>
      <c r="E235" s="19"/>
      <c r="F235" s="19"/>
    </row>
    <row r="236">
      <c r="B236" s="26"/>
      <c r="D236" s="18"/>
      <c r="E236" s="19"/>
      <c r="F236" s="19"/>
    </row>
    <row r="237">
      <c r="B237" s="26"/>
      <c r="D237" s="18"/>
      <c r="E237" s="19"/>
      <c r="F237" s="19"/>
    </row>
    <row r="238">
      <c r="B238" s="26"/>
      <c r="D238" s="18"/>
      <c r="E238" s="19"/>
      <c r="F238" s="19"/>
    </row>
    <row r="239">
      <c r="B239" s="26"/>
      <c r="D239" s="18"/>
      <c r="E239" s="19"/>
      <c r="F239" s="19"/>
    </row>
    <row r="240">
      <c r="B240" s="26"/>
      <c r="D240" s="18"/>
      <c r="E240" s="19"/>
      <c r="F240" s="19"/>
    </row>
    <row r="241">
      <c r="B241" s="26"/>
      <c r="D241" s="18"/>
      <c r="E241" s="19"/>
      <c r="F241" s="19"/>
    </row>
    <row r="242">
      <c r="B242" s="26"/>
      <c r="D242" s="18"/>
      <c r="E242" s="19"/>
      <c r="F242" s="19"/>
    </row>
    <row r="243">
      <c r="B243" s="26"/>
      <c r="D243" s="18"/>
      <c r="E243" s="19"/>
      <c r="F243" s="19"/>
    </row>
    <row r="244">
      <c r="B244" s="26"/>
      <c r="D244" s="18"/>
      <c r="E244" s="19"/>
      <c r="F244" s="19"/>
    </row>
    <row r="245">
      <c r="B245" s="26"/>
      <c r="D245" s="18"/>
      <c r="E245" s="19"/>
      <c r="F245" s="19"/>
    </row>
    <row r="246">
      <c r="B246" s="26"/>
      <c r="D246" s="18"/>
      <c r="E246" s="19"/>
      <c r="F246" s="19"/>
    </row>
    <row r="247">
      <c r="B247" s="26"/>
      <c r="D247" s="18"/>
      <c r="E247" s="19"/>
      <c r="F247" s="19"/>
    </row>
    <row r="248">
      <c r="B248" s="26"/>
      <c r="D248" s="18"/>
      <c r="E248" s="19"/>
      <c r="F248" s="19"/>
    </row>
    <row r="249">
      <c r="B249" s="26"/>
      <c r="D249" s="18"/>
      <c r="E249" s="19"/>
      <c r="F249" s="19"/>
    </row>
    <row r="250">
      <c r="B250" s="26"/>
      <c r="D250" s="18"/>
      <c r="E250" s="19"/>
      <c r="F250" s="19"/>
    </row>
    <row r="251">
      <c r="B251" s="26"/>
      <c r="D251" s="18"/>
      <c r="E251" s="19"/>
      <c r="F251" s="19"/>
    </row>
    <row r="252">
      <c r="B252" s="26"/>
      <c r="D252" s="18"/>
      <c r="E252" s="19"/>
      <c r="F252" s="19"/>
    </row>
    <row r="253">
      <c r="B253" s="26"/>
      <c r="D253" s="18"/>
      <c r="E253" s="19"/>
      <c r="F253" s="19"/>
    </row>
    <row r="254">
      <c r="B254" s="26"/>
      <c r="D254" s="18"/>
      <c r="E254" s="19"/>
      <c r="F254" s="19"/>
    </row>
    <row r="255">
      <c r="B255" s="26"/>
      <c r="D255" s="18"/>
      <c r="E255" s="19"/>
      <c r="F255" s="19"/>
    </row>
    <row r="256">
      <c r="B256" s="26"/>
      <c r="D256" s="18"/>
      <c r="E256" s="19"/>
      <c r="F256" s="19"/>
    </row>
    <row r="257">
      <c r="B257" s="26"/>
      <c r="D257" s="18"/>
      <c r="E257" s="19"/>
      <c r="F257" s="19"/>
    </row>
    <row r="258">
      <c r="B258" s="26"/>
      <c r="D258" s="18"/>
      <c r="E258" s="19"/>
      <c r="F258" s="19"/>
    </row>
    <row r="259">
      <c r="B259" s="26"/>
      <c r="D259" s="18"/>
      <c r="E259" s="19"/>
      <c r="F259" s="19"/>
    </row>
    <row r="260">
      <c r="B260" s="26"/>
      <c r="D260" s="18"/>
      <c r="E260" s="19"/>
      <c r="F260" s="19"/>
    </row>
    <row r="261">
      <c r="B261" s="26"/>
      <c r="D261" s="18"/>
      <c r="E261" s="19"/>
      <c r="F261" s="19"/>
    </row>
    <row r="262">
      <c r="B262" s="26"/>
      <c r="D262" s="18"/>
      <c r="E262" s="19"/>
      <c r="F262" s="19"/>
    </row>
    <row r="263">
      <c r="B263" s="26"/>
      <c r="D263" s="18"/>
      <c r="E263" s="19"/>
      <c r="F263" s="19"/>
    </row>
    <row r="264">
      <c r="B264" s="26"/>
      <c r="D264" s="18"/>
      <c r="E264" s="19"/>
      <c r="F264" s="19"/>
    </row>
    <row r="265">
      <c r="B265" s="26"/>
      <c r="D265" s="18"/>
      <c r="E265" s="19"/>
      <c r="F265" s="19"/>
    </row>
    <row r="266">
      <c r="B266" s="26"/>
      <c r="D266" s="18"/>
      <c r="E266" s="19"/>
      <c r="F266" s="19"/>
    </row>
    <row r="267">
      <c r="B267" s="26"/>
      <c r="D267" s="18"/>
      <c r="E267" s="19"/>
      <c r="F267" s="19"/>
    </row>
    <row r="268">
      <c r="B268" s="26"/>
      <c r="D268" s="18"/>
      <c r="E268" s="19"/>
      <c r="F268" s="19"/>
    </row>
    <row r="269">
      <c r="B269" s="26"/>
      <c r="D269" s="18"/>
      <c r="E269" s="19"/>
      <c r="F269" s="19"/>
    </row>
    <row r="270">
      <c r="B270" s="26"/>
      <c r="D270" s="18"/>
      <c r="E270" s="19"/>
      <c r="F270" s="19"/>
    </row>
    <row r="271">
      <c r="B271" s="26"/>
      <c r="D271" s="18"/>
      <c r="E271" s="19"/>
      <c r="F271" s="19"/>
    </row>
    <row r="272">
      <c r="B272" s="26"/>
      <c r="D272" s="18"/>
      <c r="E272" s="19"/>
      <c r="F272" s="19"/>
    </row>
    <row r="273">
      <c r="B273" s="26"/>
      <c r="D273" s="18"/>
      <c r="E273" s="19"/>
      <c r="F273" s="19"/>
    </row>
    <row r="274">
      <c r="B274" s="26"/>
      <c r="D274" s="18"/>
      <c r="E274" s="19"/>
      <c r="F274" s="19"/>
    </row>
    <row r="275">
      <c r="B275" s="26"/>
      <c r="D275" s="18"/>
      <c r="E275" s="19"/>
      <c r="F275" s="19"/>
    </row>
    <row r="276">
      <c r="B276" s="26"/>
      <c r="D276" s="18"/>
      <c r="E276" s="19"/>
      <c r="F276" s="19"/>
    </row>
    <row r="277">
      <c r="B277" s="26"/>
      <c r="D277" s="18"/>
      <c r="E277" s="19"/>
      <c r="F277" s="19"/>
    </row>
    <row r="278">
      <c r="B278" s="26"/>
      <c r="D278" s="18"/>
      <c r="E278" s="19"/>
      <c r="F278" s="19"/>
    </row>
    <row r="279">
      <c r="B279" s="26"/>
      <c r="D279" s="18"/>
      <c r="E279" s="19"/>
      <c r="F279" s="19"/>
    </row>
    <row r="280">
      <c r="B280" s="26"/>
      <c r="D280" s="18"/>
      <c r="E280" s="19"/>
      <c r="F280" s="19"/>
    </row>
    <row r="281">
      <c r="B281" s="26"/>
      <c r="D281" s="18"/>
      <c r="E281" s="19"/>
      <c r="F281" s="19"/>
    </row>
    <row r="282">
      <c r="B282" s="26"/>
      <c r="D282" s="18"/>
      <c r="E282" s="19"/>
      <c r="F282" s="19"/>
    </row>
    <row r="283">
      <c r="B283" s="26"/>
      <c r="D283" s="18"/>
      <c r="E283" s="19"/>
      <c r="F283" s="19"/>
    </row>
    <row r="284">
      <c r="B284" s="26"/>
      <c r="D284" s="18"/>
      <c r="E284" s="19"/>
      <c r="F284" s="19"/>
    </row>
    <row r="285">
      <c r="B285" s="26"/>
      <c r="D285" s="18"/>
      <c r="E285" s="19"/>
      <c r="F285" s="19"/>
    </row>
    <row r="286">
      <c r="B286" s="26"/>
      <c r="D286" s="18"/>
      <c r="E286" s="19"/>
      <c r="F286" s="19"/>
    </row>
    <row r="287">
      <c r="B287" s="26"/>
      <c r="D287" s="18"/>
      <c r="E287" s="19"/>
      <c r="F287" s="19"/>
    </row>
    <row r="288">
      <c r="B288" s="26"/>
      <c r="D288" s="18"/>
      <c r="E288" s="19"/>
      <c r="F288" s="19"/>
    </row>
    <row r="289">
      <c r="B289" s="26"/>
      <c r="D289" s="18"/>
      <c r="E289" s="19"/>
      <c r="F289" s="19"/>
    </row>
    <row r="290">
      <c r="B290" s="26"/>
      <c r="D290" s="18"/>
      <c r="E290" s="19"/>
      <c r="F290" s="19"/>
    </row>
    <row r="291">
      <c r="B291" s="26"/>
      <c r="D291" s="18"/>
      <c r="E291" s="19"/>
      <c r="F291" s="19"/>
    </row>
    <row r="292">
      <c r="B292" s="26"/>
      <c r="D292" s="18"/>
      <c r="E292" s="19"/>
      <c r="F292" s="19"/>
    </row>
    <row r="293">
      <c r="B293" s="26"/>
      <c r="D293" s="18"/>
      <c r="E293" s="19"/>
      <c r="F293" s="19"/>
    </row>
    <row r="294">
      <c r="B294" s="26"/>
      <c r="D294" s="18"/>
      <c r="E294" s="19"/>
      <c r="F294" s="19"/>
    </row>
    <row r="295">
      <c r="B295" s="26"/>
      <c r="D295" s="18"/>
      <c r="E295" s="19"/>
      <c r="F295" s="19"/>
    </row>
    <row r="296">
      <c r="B296" s="26"/>
      <c r="D296" s="18"/>
      <c r="E296" s="19"/>
      <c r="F296" s="19"/>
    </row>
    <row r="297">
      <c r="B297" s="26"/>
      <c r="D297" s="18"/>
      <c r="E297" s="19"/>
      <c r="F297" s="19"/>
    </row>
    <row r="298">
      <c r="B298" s="26"/>
      <c r="D298" s="18"/>
      <c r="E298" s="19"/>
      <c r="F298" s="19"/>
    </row>
    <row r="299">
      <c r="B299" s="26"/>
      <c r="D299" s="18"/>
      <c r="E299" s="19"/>
      <c r="F299" s="19"/>
    </row>
    <row r="300">
      <c r="B300" s="26"/>
      <c r="D300" s="18"/>
      <c r="E300" s="19"/>
      <c r="F300" s="19"/>
    </row>
    <row r="301">
      <c r="B301" s="26"/>
      <c r="D301" s="18"/>
      <c r="E301" s="19"/>
      <c r="F301" s="19"/>
    </row>
    <row r="302">
      <c r="B302" s="26"/>
      <c r="D302" s="18"/>
      <c r="E302" s="19"/>
      <c r="F302" s="19"/>
    </row>
    <row r="303">
      <c r="B303" s="26"/>
      <c r="D303" s="18"/>
      <c r="E303" s="19"/>
      <c r="F303" s="19"/>
    </row>
    <row r="304">
      <c r="B304" s="26"/>
      <c r="D304" s="18"/>
      <c r="E304" s="19"/>
      <c r="F304" s="19"/>
    </row>
    <row r="305">
      <c r="B305" s="26"/>
      <c r="D305" s="18"/>
      <c r="E305" s="19"/>
      <c r="F305" s="19"/>
    </row>
    <row r="306">
      <c r="B306" s="26"/>
      <c r="D306" s="18"/>
      <c r="E306" s="19"/>
      <c r="F306" s="19"/>
    </row>
    <row r="307">
      <c r="B307" s="26"/>
      <c r="D307" s="18"/>
      <c r="E307" s="19"/>
      <c r="F307" s="19"/>
    </row>
    <row r="308">
      <c r="B308" s="26"/>
      <c r="D308" s="18"/>
      <c r="E308" s="19"/>
      <c r="F308" s="19"/>
    </row>
    <row r="309">
      <c r="B309" s="26"/>
      <c r="D309" s="18"/>
      <c r="E309" s="19"/>
      <c r="F309" s="19"/>
    </row>
    <row r="310">
      <c r="B310" s="26"/>
      <c r="D310" s="18"/>
      <c r="E310" s="19"/>
      <c r="F310" s="19"/>
    </row>
    <row r="311">
      <c r="B311" s="26"/>
      <c r="D311" s="18"/>
      <c r="E311" s="19"/>
      <c r="F311" s="19"/>
    </row>
    <row r="312">
      <c r="B312" s="26"/>
      <c r="D312" s="18"/>
      <c r="E312" s="19"/>
      <c r="F312" s="19"/>
    </row>
    <row r="313">
      <c r="B313" s="26"/>
      <c r="D313" s="18"/>
      <c r="E313" s="19"/>
      <c r="F313" s="19"/>
    </row>
    <row r="314">
      <c r="B314" s="26"/>
      <c r="D314" s="18"/>
      <c r="E314" s="19"/>
      <c r="F314" s="19"/>
    </row>
    <row r="315">
      <c r="B315" s="26"/>
      <c r="D315" s="18"/>
      <c r="E315" s="19"/>
      <c r="F315" s="19"/>
    </row>
    <row r="316">
      <c r="B316" s="26"/>
      <c r="D316" s="18"/>
      <c r="E316" s="19"/>
      <c r="F316" s="19"/>
    </row>
    <row r="317">
      <c r="B317" s="26"/>
      <c r="D317" s="18"/>
      <c r="E317" s="19"/>
      <c r="F317" s="19"/>
    </row>
    <row r="318">
      <c r="B318" s="26"/>
      <c r="D318" s="18"/>
      <c r="E318" s="19"/>
      <c r="F318" s="19"/>
    </row>
    <row r="319">
      <c r="B319" s="26"/>
      <c r="D319" s="18"/>
      <c r="E319" s="19"/>
      <c r="F319" s="19"/>
    </row>
    <row r="320">
      <c r="B320" s="26"/>
      <c r="D320" s="18"/>
      <c r="E320" s="19"/>
      <c r="F320" s="19"/>
    </row>
    <row r="321">
      <c r="B321" s="26"/>
      <c r="D321" s="18"/>
      <c r="E321" s="19"/>
      <c r="F321" s="19"/>
    </row>
    <row r="322">
      <c r="B322" s="26"/>
      <c r="D322" s="18"/>
      <c r="E322" s="19"/>
      <c r="F322" s="19"/>
    </row>
    <row r="323">
      <c r="B323" s="26"/>
      <c r="D323" s="18"/>
      <c r="E323" s="19"/>
      <c r="F323" s="19"/>
    </row>
    <row r="324">
      <c r="B324" s="26"/>
      <c r="D324" s="18"/>
      <c r="E324" s="19"/>
      <c r="F324" s="19"/>
    </row>
    <row r="325">
      <c r="B325" s="26"/>
      <c r="D325" s="18"/>
      <c r="E325" s="19"/>
      <c r="F325" s="19"/>
    </row>
    <row r="326">
      <c r="B326" s="26"/>
      <c r="D326" s="18"/>
      <c r="E326" s="19"/>
      <c r="F326" s="19"/>
    </row>
    <row r="327">
      <c r="B327" s="26"/>
      <c r="D327" s="18"/>
      <c r="E327" s="19"/>
      <c r="F327" s="19"/>
    </row>
    <row r="328">
      <c r="B328" s="26"/>
      <c r="D328" s="18"/>
      <c r="E328" s="19"/>
      <c r="F328" s="19"/>
    </row>
    <row r="329">
      <c r="B329" s="26"/>
      <c r="D329" s="18"/>
      <c r="E329" s="19"/>
      <c r="F329" s="19"/>
    </row>
    <row r="330">
      <c r="B330" s="26"/>
      <c r="D330" s="18"/>
      <c r="E330" s="19"/>
      <c r="F330" s="19"/>
    </row>
    <row r="331">
      <c r="B331" s="26"/>
      <c r="D331" s="18"/>
      <c r="E331" s="19"/>
      <c r="F331" s="19"/>
    </row>
    <row r="332">
      <c r="B332" s="26"/>
      <c r="D332" s="18"/>
      <c r="E332" s="19"/>
      <c r="F332" s="19"/>
    </row>
    <row r="333">
      <c r="B333" s="26"/>
      <c r="D333" s="18"/>
      <c r="E333" s="19"/>
      <c r="F333" s="19"/>
    </row>
    <row r="334">
      <c r="B334" s="26"/>
      <c r="D334" s="18"/>
      <c r="E334" s="19"/>
      <c r="F334" s="19"/>
    </row>
    <row r="335">
      <c r="B335" s="26"/>
      <c r="D335" s="18"/>
      <c r="E335" s="19"/>
      <c r="F335" s="19"/>
    </row>
    <row r="336">
      <c r="B336" s="26"/>
      <c r="D336" s="18"/>
      <c r="E336" s="19"/>
      <c r="F336" s="19"/>
    </row>
    <row r="337">
      <c r="B337" s="26"/>
      <c r="D337" s="18"/>
      <c r="E337" s="19"/>
      <c r="F337" s="19"/>
    </row>
    <row r="338">
      <c r="B338" s="26"/>
      <c r="D338" s="18"/>
      <c r="E338" s="19"/>
      <c r="F338" s="19"/>
    </row>
    <row r="339">
      <c r="B339" s="26"/>
      <c r="D339" s="18"/>
      <c r="E339" s="19"/>
      <c r="F339" s="19"/>
    </row>
    <row r="340">
      <c r="B340" s="26"/>
      <c r="D340" s="18"/>
      <c r="E340" s="19"/>
      <c r="F340" s="19"/>
    </row>
    <row r="341">
      <c r="B341" s="26"/>
      <c r="D341" s="18"/>
      <c r="E341" s="19"/>
      <c r="F341" s="19"/>
    </row>
    <row r="342">
      <c r="B342" s="26"/>
      <c r="D342" s="18"/>
      <c r="E342" s="19"/>
      <c r="F342" s="19"/>
    </row>
    <row r="343">
      <c r="B343" s="26"/>
      <c r="D343" s="18"/>
      <c r="E343" s="19"/>
      <c r="F343" s="19"/>
    </row>
    <row r="344">
      <c r="B344" s="26"/>
      <c r="D344" s="18"/>
      <c r="E344" s="19"/>
      <c r="F344" s="19"/>
    </row>
    <row r="345">
      <c r="B345" s="26"/>
      <c r="D345" s="18"/>
      <c r="E345" s="19"/>
      <c r="F345" s="19"/>
    </row>
    <row r="346">
      <c r="B346" s="26"/>
      <c r="D346" s="18"/>
      <c r="E346" s="19"/>
      <c r="F346" s="19"/>
    </row>
    <row r="347">
      <c r="B347" s="26"/>
      <c r="D347" s="18"/>
      <c r="E347" s="19"/>
      <c r="F347" s="19"/>
    </row>
    <row r="348">
      <c r="B348" s="26"/>
      <c r="D348" s="18"/>
      <c r="E348" s="19"/>
      <c r="F348" s="19"/>
    </row>
    <row r="349">
      <c r="B349" s="26"/>
      <c r="D349" s="18"/>
      <c r="E349" s="19"/>
      <c r="F349" s="19"/>
    </row>
    <row r="350">
      <c r="B350" s="26"/>
      <c r="D350" s="18"/>
      <c r="E350" s="19"/>
      <c r="F350" s="19"/>
    </row>
    <row r="351">
      <c r="B351" s="26"/>
      <c r="D351" s="18"/>
      <c r="E351" s="19"/>
      <c r="F351" s="19"/>
    </row>
    <row r="352">
      <c r="B352" s="26"/>
      <c r="D352" s="18"/>
      <c r="E352" s="19"/>
      <c r="F352" s="19"/>
    </row>
    <row r="353">
      <c r="B353" s="26"/>
      <c r="D353" s="18"/>
      <c r="E353" s="19"/>
      <c r="F353" s="19"/>
    </row>
    <row r="354">
      <c r="B354" s="26"/>
      <c r="D354" s="18"/>
      <c r="E354" s="19"/>
      <c r="F354" s="19"/>
    </row>
    <row r="355">
      <c r="B355" s="26"/>
      <c r="D355" s="18"/>
      <c r="E355" s="19"/>
      <c r="F355" s="19"/>
    </row>
    <row r="356">
      <c r="B356" s="26"/>
      <c r="D356" s="18"/>
      <c r="E356" s="19"/>
      <c r="F356" s="19"/>
    </row>
    <row r="357">
      <c r="B357" s="26"/>
      <c r="D357" s="18"/>
      <c r="E357" s="19"/>
      <c r="F357" s="19"/>
    </row>
    <row r="358">
      <c r="B358" s="26"/>
      <c r="D358" s="18"/>
      <c r="E358" s="19"/>
      <c r="F358" s="19"/>
    </row>
    <row r="359">
      <c r="B359" s="26"/>
      <c r="D359" s="18"/>
      <c r="E359" s="19"/>
      <c r="F359" s="19"/>
    </row>
    <row r="360">
      <c r="B360" s="26"/>
      <c r="D360" s="18"/>
      <c r="E360" s="19"/>
      <c r="F360" s="19"/>
    </row>
    <row r="361">
      <c r="B361" s="26"/>
      <c r="D361" s="18"/>
      <c r="E361" s="19"/>
      <c r="F361" s="19"/>
    </row>
    <row r="362">
      <c r="B362" s="26"/>
      <c r="D362" s="18"/>
      <c r="E362" s="19"/>
      <c r="F362" s="19"/>
    </row>
    <row r="363">
      <c r="B363" s="26"/>
      <c r="D363" s="18"/>
      <c r="E363" s="19"/>
      <c r="F363" s="19"/>
    </row>
    <row r="364">
      <c r="B364" s="26"/>
      <c r="D364" s="18"/>
      <c r="E364" s="19"/>
      <c r="F364" s="19"/>
    </row>
    <row r="365">
      <c r="B365" s="26"/>
      <c r="D365" s="18"/>
      <c r="E365" s="19"/>
      <c r="F365" s="19"/>
    </row>
    <row r="366">
      <c r="B366" s="26"/>
      <c r="D366" s="18"/>
      <c r="E366" s="19"/>
      <c r="F366" s="19"/>
    </row>
    <row r="367">
      <c r="B367" s="26"/>
      <c r="D367" s="18"/>
      <c r="E367" s="19"/>
      <c r="F367" s="19"/>
    </row>
    <row r="368">
      <c r="B368" s="26"/>
      <c r="D368" s="18"/>
      <c r="E368" s="19"/>
      <c r="F368" s="19"/>
    </row>
    <row r="369">
      <c r="B369" s="26"/>
      <c r="D369" s="18"/>
      <c r="E369" s="19"/>
      <c r="F369" s="19"/>
    </row>
    <row r="370">
      <c r="B370" s="26"/>
      <c r="D370" s="18"/>
      <c r="E370" s="19"/>
      <c r="F370" s="19"/>
    </row>
    <row r="371">
      <c r="B371" s="26"/>
      <c r="D371" s="18"/>
      <c r="E371" s="19"/>
      <c r="F371" s="19"/>
    </row>
    <row r="372">
      <c r="B372" s="26"/>
      <c r="D372" s="18"/>
      <c r="E372" s="19"/>
      <c r="F372" s="19"/>
    </row>
    <row r="373">
      <c r="B373" s="26"/>
      <c r="D373" s="18"/>
      <c r="E373" s="19"/>
      <c r="F373" s="19"/>
    </row>
    <row r="374">
      <c r="B374" s="26"/>
      <c r="D374" s="18"/>
      <c r="E374" s="19"/>
      <c r="F374" s="19"/>
    </row>
    <row r="375">
      <c r="B375" s="26"/>
      <c r="D375" s="18"/>
      <c r="E375" s="19"/>
      <c r="F375" s="19"/>
    </row>
    <row r="376">
      <c r="B376" s="26"/>
      <c r="D376" s="18"/>
      <c r="E376" s="19"/>
      <c r="F376" s="19"/>
    </row>
    <row r="377">
      <c r="B377" s="26"/>
      <c r="D377" s="18"/>
      <c r="E377" s="19"/>
      <c r="F377" s="19"/>
    </row>
    <row r="378">
      <c r="B378" s="26"/>
      <c r="D378" s="18"/>
      <c r="E378" s="19"/>
      <c r="F378" s="19"/>
    </row>
    <row r="379">
      <c r="B379" s="26"/>
      <c r="D379" s="18"/>
      <c r="E379" s="19"/>
      <c r="F379" s="19"/>
    </row>
    <row r="380">
      <c r="B380" s="26"/>
      <c r="D380" s="18"/>
      <c r="E380" s="19"/>
      <c r="F380" s="19"/>
    </row>
    <row r="381">
      <c r="B381" s="26"/>
      <c r="D381" s="18"/>
      <c r="E381" s="19"/>
      <c r="F381" s="19"/>
    </row>
    <row r="382">
      <c r="B382" s="26"/>
      <c r="D382" s="18"/>
      <c r="E382" s="19"/>
      <c r="F382" s="19"/>
    </row>
    <row r="383">
      <c r="B383" s="26"/>
      <c r="D383" s="18"/>
      <c r="E383" s="19"/>
      <c r="F383" s="19"/>
    </row>
    <row r="384">
      <c r="B384" s="26"/>
      <c r="D384" s="18"/>
      <c r="E384" s="19"/>
      <c r="F384" s="19"/>
    </row>
    <row r="385">
      <c r="B385" s="26"/>
      <c r="D385" s="18"/>
      <c r="E385" s="19"/>
      <c r="F385" s="19"/>
    </row>
    <row r="386">
      <c r="B386" s="26"/>
      <c r="D386" s="18"/>
      <c r="E386" s="19"/>
      <c r="F386" s="19"/>
    </row>
    <row r="387">
      <c r="B387" s="26"/>
      <c r="D387" s="18"/>
      <c r="E387" s="19"/>
      <c r="F387" s="19"/>
    </row>
    <row r="388">
      <c r="B388" s="26"/>
      <c r="D388" s="18"/>
      <c r="E388" s="19"/>
      <c r="F388" s="19"/>
    </row>
    <row r="389">
      <c r="B389" s="26"/>
      <c r="D389" s="18"/>
      <c r="E389" s="19"/>
      <c r="F389" s="19"/>
    </row>
    <row r="390">
      <c r="B390" s="26"/>
      <c r="D390" s="18"/>
      <c r="E390" s="19"/>
      <c r="F390" s="19"/>
    </row>
    <row r="391">
      <c r="B391" s="26"/>
      <c r="D391" s="18"/>
      <c r="E391" s="19"/>
      <c r="F391" s="19"/>
    </row>
    <row r="392">
      <c r="B392" s="26"/>
      <c r="D392" s="18"/>
      <c r="E392" s="19"/>
      <c r="F392" s="19"/>
    </row>
    <row r="393">
      <c r="B393" s="26"/>
      <c r="D393" s="18"/>
      <c r="E393" s="19"/>
      <c r="F393" s="19"/>
    </row>
    <row r="394">
      <c r="B394" s="26"/>
      <c r="D394" s="18"/>
      <c r="E394" s="19"/>
      <c r="F394" s="19"/>
    </row>
    <row r="395">
      <c r="B395" s="26"/>
      <c r="D395" s="18"/>
      <c r="E395" s="19"/>
      <c r="F395" s="19"/>
    </row>
    <row r="396">
      <c r="B396" s="26"/>
      <c r="D396" s="18"/>
      <c r="E396" s="19"/>
      <c r="F396" s="19"/>
    </row>
    <row r="397">
      <c r="B397" s="26"/>
      <c r="D397" s="18"/>
      <c r="E397" s="19"/>
      <c r="F397" s="19"/>
    </row>
    <row r="398">
      <c r="B398" s="26"/>
      <c r="D398" s="18"/>
      <c r="E398" s="19"/>
      <c r="F398" s="19"/>
    </row>
    <row r="399">
      <c r="B399" s="26"/>
      <c r="D399" s="18"/>
      <c r="E399" s="19"/>
      <c r="F399" s="19"/>
    </row>
    <row r="400">
      <c r="B400" s="26"/>
      <c r="D400" s="18"/>
      <c r="E400" s="19"/>
      <c r="F400" s="19"/>
    </row>
    <row r="401">
      <c r="B401" s="26"/>
      <c r="D401" s="18"/>
      <c r="E401" s="19"/>
      <c r="F401" s="19"/>
    </row>
    <row r="402">
      <c r="B402" s="26"/>
      <c r="D402" s="18"/>
      <c r="E402" s="19"/>
      <c r="F402" s="19"/>
    </row>
    <row r="403">
      <c r="B403" s="26"/>
      <c r="D403" s="18"/>
      <c r="E403" s="19"/>
      <c r="F403" s="19"/>
    </row>
    <row r="404">
      <c r="B404" s="26"/>
      <c r="D404" s="18"/>
      <c r="E404" s="19"/>
      <c r="F404" s="19"/>
    </row>
    <row r="405">
      <c r="B405" s="26"/>
      <c r="D405" s="18"/>
      <c r="E405" s="19"/>
      <c r="F405" s="19"/>
    </row>
    <row r="406">
      <c r="B406" s="26"/>
      <c r="D406" s="18"/>
      <c r="E406" s="19"/>
      <c r="F406" s="19"/>
    </row>
    <row r="407">
      <c r="B407" s="26"/>
      <c r="D407" s="18"/>
      <c r="E407" s="19"/>
      <c r="F407" s="19"/>
    </row>
    <row r="408">
      <c r="B408" s="26"/>
      <c r="D408" s="18"/>
      <c r="E408" s="19"/>
      <c r="F408" s="19"/>
    </row>
    <row r="409">
      <c r="B409" s="26"/>
      <c r="D409" s="18"/>
      <c r="E409" s="19"/>
      <c r="F409" s="19"/>
    </row>
    <row r="410">
      <c r="B410" s="26"/>
      <c r="D410" s="18"/>
      <c r="E410" s="19"/>
      <c r="F410" s="19"/>
    </row>
    <row r="411">
      <c r="B411" s="26"/>
      <c r="D411" s="18"/>
      <c r="E411" s="19"/>
      <c r="F411" s="19"/>
    </row>
    <row r="412">
      <c r="B412" s="26"/>
      <c r="D412" s="18"/>
      <c r="E412" s="19"/>
      <c r="F412" s="19"/>
    </row>
    <row r="413">
      <c r="B413" s="26"/>
      <c r="D413" s="18"/>
      <c r="E413" s="19"/>
      <c r="F413" s="19"/>
    </row>
    <row r="414">
      <c r="B414" s="26"/>
      <c r="D414" s="18"/>
      <c r="E414" s="19"/>
      <c r="F414" s="19"/>
    </row>
    <row r="415">
      <c r="B415" s="26"/>
      <c r="D415" s="18"/>
      <c r="E415" s="19"/>
      <c r="F415" s="19"/>
    </row>
    <row r="416">
      <c r="B416" s="26"/>
      <c r="D416" s="18"/>
      <c r="E416" s="19"/>
      <c r="F416" s="19"/>
    </row>
    <row r="417">
      <c r="B417" s="26"/>
      <c r="D417" s="18"/>
      <c r="E417" s="19"/>
      <c r="F417" s="19"/>
    </row>
    <row r="418">
      <c r="B418" s="26"/>
      <c r="D418" s="18"/>
      <c r="E418" s="19"/>
      <c r="F418" s="19"/>
    </row>
    <row r="419">
      <c r="B419" s="26"/>
      <c r="D419" s="18"/>
      <c r="E419" s="19"/>
      <c r="F419" s="19"/>
    </row>
    <row r="420">
      <c r="B420" s="26"/>
      <c r="D420" s="18"/>
      <c r="E420" s="19"/>
      <c r="F420" s="19"/>
    </row>
    <row r="421">
      <c r="B421" s="26"/>
      <c r="D421" s="18"/>
      <c r="E421" s="19"/>
      <c r="F421" s="19"/>
    </row>
    <row r="422">
      <c r="B422" s="26"/>
      <c r="D422" s="18"/>
      <c r="E422" s="19"/>
      <c r="F422" s="19"/>
    </row>
    <row r="423">
      <c r="B423" s="26"/>
      <c r="D423" s="18"/>
      <c r="E423" s="19"/>
      <c r="F423" s="19"/>
    </row>
    <row r="424">
      <c r="B424" s="26"/>
      <c r="D424" s="18"/>
      <c r="E424" s="19"/>
      <c r="F424" s="19"/>
    </row>
    <row r="425">
      <c r="B425" s="26"/>
      <c r="D425" s="18"/>
      <c r="E425" s="19"/>
      <c r="F425" s="19"/>
    </row>
    <row r="426">
      <c r="B426" s="26"/>
      <c r="D426" s="18"/>
      <c r="E426" s="19"/>
      <c r="F426" s="19"/>
    </row>
    <row r="427">
      <c r="B427" s="26"/>
      <c r="D427" s="18"/>
      <c r="E427" s="19"/>
      <c r="F427" s="19"/>
    </row>
    <row r="428">
      <c r="B428" s="26"/>
      <c r="D428" s="18"/>
      <c r="E428" s="19"/>
      <c r="F428" s="19"/>
    </row>
    <row r="429">
      <c r="B429" s="26"/>
      <c r="D429" s="18"/>
      <c r="E429" s="19"/>
      <c r="F429" s="19"/>
    </row>
    <row r="430">
      <c r="B430" s="26"/>
      <c r="D430" s="18"/>
      <c r="E430" s="19"/>
      <c r="F430" s="19"/>
    </row>
    <row r="431">
      <c r="B431" s="26"/>
      <c r="D431" s="18"/>
      <c r="E431" s="19"/>
      <c r="F431" s="19"/>
    </row>
    <row r="432">
      <c r="B432" s="26"/>
      <c r="D432" s="18"/>
      <c r="E432" s="19"/>
      <c r="F432" s="19"/>
    </row>
    <row r="433">
      <c r="B433" s="26"/>
      <c r="D433" s="18"/>
      <c r="E433" s="19"/>
      <c r="F433" s="19"/>
    </row>
    <row r="434">
      <c r="B434" s="26"/>
      <c r="D434" s="18"/>
      <c r="E434" s="19"/>
      <c r="F434" s="19"/>
    </row>
    <row r="435">
      <c r="B435" s="26"/>
      <c r="D435" s="18"/>
      <c r="E435" s="19"/>
      <c r="F435" s="19"/>
    </row>
    <row r="436">
      <c r="B436" s="26"/>
      <c r="D436" s="18"/>
      <c r="E436" s="19"/>
      <c r="F436" s="19"/>
    </row>
    <row r="437">
      <c r="B437" s="26"/>
      <c r="D437" s="18"/>
      <c r="E437" s="19"/>
      <c r="F437" s="19"/>
    </row>
    <row r="438">
      <c r="B438" s="26"/>
      <c r="D438" s="18"/>
      <c r="E438" s="19"/>
      <c r="F438" s="19"/>
    </row>
    <row r="439">
      <c r="B439" s="26"/>
      <c r="D439" s="18"/>
      <c r="E439" s="19"/>
      <c r="F439" s="19"/>
    </row>
    <row r="440">
      <c r="B440" s="26"/>
      <c r="D440" s="18"/>
      <c r="E440" s="19"/>
      <c r="F440" s="19"/>
    </row>
    <row r="441">
      <c r="B441" s="26"/>
      <c r="D441" s="18"/>
      <c r="E441" s="19"/>
      <c r="F441" s="19"/>
    </row>
    <row r="442">
      <c r="B442" s="26"/>
      <c r="D442" s="18"/>
      <c r="E442" s="19"/>
      <c r="F442" s="19"/>
    </row>
    <row r="443">
      <c r="B443" s="26"/>
      <c r="D443" s="18"/>
      <c r="E443" s="19"/>
      <c r="F443" s="19"/>
    </row>
    <row r="444">
      <c r="B444" s="26"/>
      <c r="D444" s="18"/>
      <c r="E444" s="19"/>
      <c r="F444" s="19"/>
    </row>
    <row r="445">
      <c r="B445" s="26"/>
      <c r="D445" s="18"/>
      <c r="E445" s="19"/>
      <c r="F445" s="19"/>
    </row>
    <row r="446">
      <c r="B446" s="26"/>
      <c r="D446" s="18"/>
      <c r="E446" s="19"/>
      <c r="F446" s="19"/>
    </row>
    <row r="447">
      <c r="B447" s="26"/>
      <c r="D447" s="18"/>
      <c r="E447" s="19"/>
      <c r="F447" s="19"/>
    </row>
    <row r="448">
      <c r="B448" s="26"/>
      <c r="D448" s="18"/>
      <c r="E448" s="19"/>
      <c r="F448" s="19"/>
    </row>
    <row r="449">
      <c r="B449" s="26"/>
      <c r="D449" s="18"/>
      <c r="E449" s="19"/>
      <c r="F449" s="19"/>
    </row>
    <row r="450">
      <c r="B450" s="26"/>
      <c r="D450" s="18"/>
      <c r="E450" s="19"/>
      <c r="F450" s="19"/>
    </row>
    <row r="451">
      <c r="B451" s="26"/>
      <c r="D451" s="18"/>
      <c r="E451" s="19"/>
      <c r="F451" s="19"/>
    </row>
    <row r="452">
      <c r="B452" s="26"/>
      <c r="D452" s="18"/>
      <c r="E452" s="19"/>
      <c r="F452" s="19"/>
    </row>
    <row r="453">
      <c r="B453" s="26"/>
      <c r="D453" s="18"/>
      <c r="E453" s="19"/>
      <c r="F453" s="19"/>
    </row>
    <row r="454">
      <c r="B454" s="26"/>
      <c r="D454" s="18"/>
      <c r="E454" s="19"/>
      <c r="F454" s="19"/>
    </row>
    <row r="455">
      <c r="B455" s="26"/>
      <c r="D455" s="18"/>
      <c r="E455" s="19"/>
      <c r="F455" s="19"/>
    </row>
    <row r="456">
      <c r="B456" s="26"/>
      <c r="D456" s="18"/>
      <c r="E456" s="19"/>
      <c r="F456" s="19"/>
    </row>
    <row r="457">
      <c r="B457" s="26"/>
      <c r="D457" s="18"/>
      <c r="E457" s="19"/>
      <c r="F457" s="19"/>
    </row>
    <row r="458">
      <c r="B458" s="26"/>
      <c r="D458" s="18"/>
      <c r="E458" s="19"/>
      <c r="F458" s="19"/>
    </row>
    <row r="459">
      <c r="B459" s="26"/>
      <c r="D459" s="18"/>
      <c r="E459" s="19"/>
      <c r="F459" s="19"/>
    </row>
    <row r="460">
      <c r="B460" s="26"/>
      <c r="D460" s="18"/>
      <c r="E460" s="19"/>
      <c r="F460" s="19"/>
    </row>
    <row r="461">
      <c r="B461" s="26"/>
      <c r="D461" s="18"/>
      <c r="E461" s="19"/>
      <c r="F461" s="19"/>
    </row>
    <row r="462">
      <c r="B462" s="26"/>
      <c r="D462" s="18"/>
      <c r="E462" s="19"/>
      <c r="F462" s="19"/>
    </row>
    <row r="463">
      <c r="B463" s="26"/>
      <c r="D463" s="18"/>
      <c r="E463" s="19"/>
      <c r="F463" s="19"/>
    </row>
    <row r="464">
      <c r="B464" s="26"/>
      <c r="D464" s="18"/>
      <c r="E464" s="19"/>
      <c r="F464" s="19"/>
    </row>
    <row r="465">
      <c r="B465" s="26"/>
      <c r="D465" s="18"/>
      <c r="E465" s="19"/>
      <c r="F465" s="19"/>
    </row>
    <row r="466">
      <c r="B466" s="26"/>
      <c r="D466" s="18"/>
      <c r="E466" s="19"/>
      <c r="F466" s="19"/>
    </row>
    <row r="467">
      <c r="B467" s="26"/>
      <c r="D467" s="18"/>
      <c r="E467" s="19"/>
      <c r="F467" s="19"/>
    </row>
    <row r="468">
      <c r="B468" s="26"/>
      <c r="D468" s="18"/>
      <c r="E468" s="19"/>
      <c r="F468" s="19"/>
    </row>
    <row r="469">
      <c r="B469" s="26"/>
      <c r="D469" s="18"/>
      <c r="E469" s="19"/>
      <c r="F469" s="19"/>
    </row>
    <row r="470">
      <c r="B470" s="26"/>
      <c r="D470" s="18"/>
      <c r="E470" s="19"/>
      <c r="F470" s="19"/>
    </row>
    <row r="471">
      <c r="B471" s="26"/>
      <c r="D471" s="18"/>
      <c r="E471" s="19"/>
      <c r="F471" s="19"/>
    </row>
    <row r="472">
      <c r="B472" s="26"/>
      <c r="D472" s="18"/>
      <c r="E472" s="19"/>
      <c r="F472" s="19"/>
    </row>
    <row r="473">
      <c r="B473" s="26"/>
      <c r="D473" s="18"/>
      <c r="E473" s="19"/>
      <c r="F473" s="19"/>
    </row>
    <row r="474">
      <c r="B474" s="26"/>
      <c r="D474" s="18"/>
      <c r="E474" s="19"/>
      <c r="F474" s="19"/>
    </row>
    <row r="475">
      <c r="B475" s="26"/>
      <c r="D475" s="18"/>
      <c r="E475" s="19"/>
      <c r="F475" s="19"/>
    </row>
    <row r="476">
      <c r="B476" s="26"/>
      <c r="D476" s="18"/>
      <c r="E476" s="19"/>
      <c r="F476" s="19"/>
    </row>
    <row r="477">
      <c r="B477" s="26"/>
      <c r="D477" s="18"/>
      <c r="E477" s="19"/>
      <c r="F477" s="19"/>
    </row>
    <row r="478">
      <c r="B478" s="26"/>
      <c r="D478" s="18"/>
      <c r="E478" s="19"/>
      <c r="F478" s="19"/>
    </row>
    <row r="479">
      <c r="B479" s="26"/>
      <c r="D479" s="18"/>
      <c r="E479" s="19"/>
      <c r="F479" s="19"/>
    </row>
    <row r="480">
      <c r="B480" s="26"/>
      <c r="D480" s="18"/>
      <c r="E480" s="19"/>
      <c r="F480" s="19"/>
    </row>
    <row r="481">
      <c r="B481" s="26"/>
      <c r="D481" s="18"/>
      <c r="E481" s="19"/>
      <c r="F481" s="19"/>
    </row>
    <row r="482">
      <c r="B482" s="26"/>
      <c r="D482" s="18"/>
      <c r="E482" s="19"/>
      <c r="F482" s="19"/>
    </row>
    <row r="483">
      <c r="B483" s="26"/>
      <c r="D483" s="18"/>
      <c r="E483" s="19"/>
      <c r="F483" s="19"/>
    </row>
    <row r="484">
      <c r="B484" s="26"/>
      <c r="D484" s="18"/>
      <c r="E484" s="19"/>
      <c r="F484" s="19"/>
    </row>
    <row r="485">
      <c r="B485" s="26"/>
      <c r="D485" s="18"/>
      <c r="E485" s="19"/>
      <c r="F485" s="19"/>
    </row>
    <row r="486">
      <c r="B486" s="26"/>
      <c r="D486" s="18"/>
      <c r="E486" s="19"/>
      <c r="F486" s="19"/>
    </row>
    <row r="487">
      <c r="B487" s="26"/>
      <c r="D487" s="18"/>
      <c r="E487" s="19"/>
      <c r="F487" s="19"/>
    </row>
    <row r="488">
      <c r="B488" s="26"/>
      <c r="D488" s="18"/>
      <c r="E488" s="19"/>
      <c r="F488" s="19"/>
    </row>
    <row r="489">
      <c r="B489" s="26"/>
      <c r="D489" s="18"/>
      <c r="E489" s="19"/>
      <c r="F489" s="19"/>
    </row>
    <row r="490">
      <c r="B490" s="26"/>
      <c r="D490" s="18"/>
      <c r="E490" s="19"/>
      <c r="F490" s="19"/>
    </row>
    <row r="491">
      <c r="B491" s="26"/>
      <c r="D491" s="18"/>
      <c r="E491" s="19"/>
      <c r="F491" s="19"/>
    </row>
    <row r="492">
      <c r="B492" s="26"/>
      <c r="D492" s="18"/>
      <c r="E492" s="19"/>
      <c r="F492" s="19"/>
    </row>
    <row r="493">
      <c r="B493" s="26"/>
      <c r="D493" s="18"/>
      <c r="E493" s="19"/>
      <c r="F493" s="19"/>
    </row>
    <row r="494">
      <c r="B494" s="26"/>
      <c r="D494" s="18"/>
      <c r="E494" s="19"/>
      <c r="F494" s="19"/>
    </row>
    <row r="495">
      <c r="B495" s="26"/>
      <c r="D495" s="18"/>
      <c r="E495" s="19"/>
      <c r="F495" s="19"/>
    </row>
    <row r="496">
      <c r="B496" s="26"/>
      <c r="D496" s="18"/>
      <c r="E496" s="19"/>
      <c r="F496" s="19"/>
    </row>
    <row r="497">
      <c r="B497" s="26"/>
      <c r="D497" s="18"/>
      <c r="E497" s="19"/>
      <c r="F497" s="19"/>
    </row>
    <row r="498">
      <c r="B498" s="26"/>
      <c r="D498" s="18"/>
      <c r="E498" s="19"/>
      <c r="F498" s="19"/>
    </row>
    <row r="499">
      <c r="B499" s="26"/>
      <c r="D499" s="18"/>
      <c r="E499" s="19"/>
      <c r="F499" s="19"/>
    </row>
    <row r="500">
      <c r="B500" s="26"/>
      <c r="D500" s="18"/>
      <c r="E500" s="19"/>
      <c r="F500" s="19"/>
    </row>
    <row r="501">
      <c r="B501" s="26"/>
      <c r="D501" s="18"/>
      <c r="E501" s="19"/>
      <c r="F501" s="19"/>
    </row>
    <row r="502">
      <c r="B502" s="26"/>
      <c r="D502" s="18"/>
      <c r="E502" s="19"/>
      <c r="F502" s="19"/>
    </row>
    <row r="503">
      <c r="B503" s="26"/>
      <c r="D503" s="18"/>
      <c r="E503" s="19"/>
      <c r="F503" s="19"/>
    </row>
    <row r="504">
      <c r="B504" s="26"/>
      <c r="D504" s="18"/>
      <c r="E504" s="19"/>
      <c r="F504" s="19"/>
    </row>
    <row r="505">
      <c r="B505" s="26"/>
      <c r="D505" s="18"/>
      <c r="E505" s="19"/>
      <c r="F505" s="19"/>
    </row>
    <row r="506">
      <c r="B506" s="26"/>
      <c r="D506" s="18"/>
      <c r="E506" s="19"/>
      <c r="F506" s="19"/>
    </row>
    <row r="507">
      <c r="B507" s="26"/>
      <c r="D507" s="18"/>
      <c r="E507" s="19"/>
      <c r="F507" s="19"/>
    </row>
    <row r="508">
      <c r="B508" s="26"/>
      <c r="D508" s="18"/>
      <c r="E508" s="19"/>
      <c r="F508" s="19"/>
    </row>
    <row r="509">
      <c r="B509" s="26"/>
      <c r="D509" s="18"/>
      <c r="E509" s="19"/>
      <c r="F509" s="19"/>
    </row>
    <row r="510">
      <c r="B510" s="26"/>
      <c r="D510" s="18"/>
      <c r="E510" s="19"/>
      <c r="F510" s="19"/>
    </row>
    <row r="511">
      <c r="B511" s="26"/>
      <c r="D511" s="18"/>
      <c r="E511" s="19"/>
      <c r="F511" s="19"/>
    </row>
    <row r="512">
      <c r="B512" s="26"/>
      <c r="D512" s="18"/>
      <c r="E512" s="19"/>
      <c r="F512" s="19"/>
    </row>
    <row r="513">
      <c r="B513" s="26"/>
      <c r="D513" s="18"/>
      <c r="E513" s="19"/>
      <c r="F513" s="19"/>
    </row>
    <row r="514">
      <c r="B514" s="26"/>
      <c r="D514" s="18"/>
      <c r="E514" s="19"/>
      <c r="F514" s="19"/>
    </row>
    <row r="515">
      <c r="B515" s="26"/>
      <c r="D515" s="18"/>
      <c r="E515" s="19"/>
      <c r="F515" s="19"/>
    </row>
    <row r="516">
      <c r="B516" s="26"/>
      <c r="D516" s="18"/>
      <c r="E516" s="19"/>
      <c r="F516" s="19"/>
    </row>
    <row r="517">
      <c r="B517" s="26"/>
      <c r="D517" s="18"/>
      <c r="E517" s="19"/>
      <c r="F517" s="19"/>
    </row>
    <row r="518">
      <c r="B518" s="26"/>
      <c r="D518" s="18"/>
      <c r="E518" s="19"/>
      <c r="F518" s="19"/>
    </row>
    <row r="519">
      <c r="B519" s="26"/>
      <c r="D519" s="18"/>
      <c r="E519" s="19"/>
      <c r="F519" s="19"/>
    </row>
    <row r="520">
      <c r="B520" s="26"/>
      <c r="D520" s="18"/>
      <c r="E520" s="19"/>
      <c r="F520" s="19"/>
    </row>
    <row r="521">
      <c r="B521" s="26"/>
      <c r="D521" s="18"/>
      <c r="E521" s="19"/>
      <c r="F521" s="19"/>
    </row>
    <row r="522">
      <c r="B522" s="26"/>
      <c r="D522" s="18"/>
      <c r="E522" s="19"/>
      <c r="F522" s="19"/>
    </row>
    <row r="523">
      <c r="B523" s="26"/>
      <c r="D523" s="18"/>
      <c r="E523" s="19"/>
      <c r="F523" s="19"/>
    </row>
    <row r="524">
      <c r="B524" s="26"/>
      <c r="D524" s="18"/>
      <c r="E524" s="19"/>
      <c r="F524" s="19"/>
    </row>
    <row r="525">
      <c r="B525" s="26"/>
      <c r="D525" s="18"/>
      <c r="E525" s="19"/>
      <c r="F525" s="19"/>
    </row>
    <row r="526">
      <c r="B526" s="26"/>
      <c r="D526" s="18"/>
      <c r="E526" s="19"/>
      <c r="F526" s="19"/>
    </row>
    <row r="527">
      <c r="B527" s="26"/>
      <c r="D527" s="18"/>
      <c r="E527" s="19"/>
      <c r="F527" s="19"/>
    </row>
    <row r="528">
      <c r="B528" s="26"/>
      <c r="D528" s="18"/>
      <c r="E528" s="19"/>
      <c r="F528" s="19"/>
    </row>
    <row r="529">
      <c r="B529" s="26"/>
      <c r="D529" s="18"/>
      <c r="E529" s="19"/>
      <c r="F529" s="19"/>
    </row>
    <row r="530">
      <c r="B530" s="26"/>
      <c r="D530" s="18"/>
      <c r="E530" s="19"/>
      <c r="F530" s="19"/>
    </row>
    <row r="531">
      <c r="B531" s="26"/>
      <c r="D531" s="18"/>
      <c r="E531" s="19"/>
      <c r="F531" s="19"/>
    </row>
    <row r="532">
      <c r="B532" s="26"/>
      <c r="D532" s="18"/>
      <c r="E532" s="19"/>
      <c r="F532" s="19"/>
    </row>
    <row r="533">
      <c r="B533" s="26"/>
      <c r="D533" s="18"/>
      <c r="E533" s="19"/>
      <c r="F533" s="19"/>
    </row>
    <row r="534">
      <c r="B534" s="26"/>
      <c r="D534" s="18"/>
      <c r="E534" s="19"/>
      <c r="F534" s="19"/>
    </row>
    <row r="535">
      <c r="B535" s="26"/>
      <c r="D535" s="18"/>
      <c r="E535" s="19"/>
      <c r="F535" s="19"/>
    </row>
    <row r="536">
      <c r="B536" s="26"/>
      <c r="D536" s="18"/>
      <c r="E536" s="19"/>
      <c r="F536" s="19"/>
    </row>
    <row r="537">
      <c r="B537" s="26"/>
      <c r="D537" s="18"/>
      <c r="E537" s="19"/>
      <c r="F537" s="19"/>
    </row>
    <row r="538">
      <c r="B538" s="26"/>
      <c r="D538" s="18"/>
      <c r="E538" s="19"/>
      <c r="F538" s="19"/>
    </row>
    <row r="539">
      <c r="B539" s="26"/>
      <c r="D539" s="18"/>
      <c r="E539" s="19"/>
      <c r="F539" s="19"/>
    </row>
    <row r="540">
      <c r="B540" s="26"/>
      <c r="D540" s="18"/>
      <c r="E540" s="19"/>
      <c r="F540" s="19"/>
    </row>
    <row r="541">
      <c r="B541" s="26"/>
      <c r="D541" s="18"/>
      <c r="E541" s="19"/>
      <c r="F541" s="19"/>
    </row>
    <row r="542">
      <c r="B542" s="26"/>
      <c r="D542" s="18"/>
      <c r="E542" s="19"/>
      <c r="F542" s="19"/>
    </row>
    <row r="543">
      <c r="B543" s="26"/>
      <c r="D543" s="18"/>
      <c r="E543" s="19"/>
      <c r="F543" s="19"/>
    </row>
    <row r="544">
      <c r="B544" s="26"/>
      <c r="D544" s="18"/>
      <c r="E544" s="19"/>
      <c r="F544" s="19"/>
    </row>
    <row r="545">
      <c r="B545" s="26"/>
      <c r="D545" s="18"/>
      <c r="E545" s="19"/>
      <c r="F545" s="19"/>
    </row>
    <row r="546">
      <c r="B546" s="26"/>
      <c r="D546" s="18"/>
      <c r="E546" s="19"/>
      <c r="F546" s="19"/>
    </row>
    <row r="547">
      <c r="B547" s="26"/>
      <c r="D547" s="18"/>
      <c r="E547" s="19"/>
      <c r="F547" s="19"/>
    </row>
    <row r="548">
      <c r="B548" s="26"/>
      <c r="D548" s="18"/>
      <c r="E548" s="19"/>
      <c r="F548" s="19"/>
    </row>
    <row r="549">
      <c r="B549" s="26"/>
      <c r="D549" s="18"/>
      <c r="E549" s="19"/>
      <c r="F549" s="19"/>
    </row>
    <row r="550">
      <c r="B550" s="26"/>
      <c r="D550" s="18"/>
      <c r="E550" s="19"/>
      <c r="F550" s="19"/>
    </row>
    <row r="551">
      <c r="B551" s="26"/>
      <c r="D551" s="18"/>
      <c r="E551" s="19"/>
      <c r="F551" s="19"/>
    </row>
    <row r="552">
      <c r="B552" s="26"/>
      <c r="D552" s="18"/>
      <c r="E552" s="19"/>
      <c r="F552" s="19"/>
    </row>
    <row r="553">
      <c r="B553" s="26"/>
      <c r="D553" s="18"/>
      <c r="E553" s="19"/>
      <c r="F553" s="19"/>
    </row>
    <row r="554">
      <c r="B554" s="26"/>
      <c r="D554" s="18"/>
      <c r="E554" s="19"/>
      <c r="F554" s="19"/>
    </row>
    <row r="555">
      <c r="B555" s="26"/>
      <c r="D555" s="18"/>
      <c r="E555" s="19"/>
      <c r="F555" s="19"/>
    </row>
    <row r="556">
      <c r="B556" s="26"/>
      <c r="D556" s="18"/>
      <c r="E556" s="19"/>
      <c r="F556" s="19"/>
    </row>
    <row r="557">
      <c r="B557" s="26"/>
      <c r="D557" s="18"/>
      <c r="E557" s="19"/>
      <c r="F557" s="19"/>
    </row>
    <row r="558">
      <c r="B558" s="26"/>
      <c r="D558" s="18"/>
      <c r="E558" s="19"/>
      <c r="F558" s="19"/>
    </row>
    <row r="559">
      <c r="B559" s="26"/>
      <c r="D559" s="18"/>
      <c r="E559" s="19"/>
      <c r="F559" s="19"/>
    </row>
    <row r="560">
      <c r="B560" s="26"/>
      <c r="D560" s="18"/>
      <c r="E560" s="19"/>
      <c r="F560" s="19"/>
    </row>
    <row r="561">
      <c r="B561" s="26"/>
      <c r="D561" s="18"/>
      <c r="E561" s="19"/>
      <c r="F561" s="19"/>
    </row>
    <row r="562">
      <c r="B562" s="26"/>
      <c r="D562" s="18"/>
      <c r="E562" s="19"/>
      <c r="F562" s="19"/>
    </row>
    <row r="563">
      <c r="B563" s="26"/>
      <c r="D563" s="18"/>
      <c r="E563" s="19"/>
      <c r="F563" s="19"/>
    </row>
    <row r="564">
      <c r="B564" s="26"/>
      <c r="D564" s="18"/>
      <c r="E564" s="19"/>
      <c r="F564" s="19"/>
    </row>
    <row r="565">
      <c r="B565" s="26"/>
      <c r="D565" s="18"/>
      <c r="E565" s="19"/>
      <c r="F565" s="19"/>
    </row>
    <row r="566">
      <c r="B566" s="26"/>
      <c r="D566" s="18"/>
      <c r="E566" s="19"/>
      <c r="F566" s="19"/>
    </row>
    <row r="567">
      <c r="B567" s="26"/>
      <c r="D567" s="18"/>
      <c r="E567" s="19"/>
      <c r="F567" s="19"/>
    </row>
    <row r="568">
      <c r="B568" s="26"/>
      <c r="D568" s="18"/>
      <c r="E568" s="19"/>
      <c r="F568" s="19"/>
    </row>
    <row r="569">
      <c r="B569" s="26"/>
      <c r="D569" s="18"/>
      <c r="E569" s="19"/>
      <c r="F569" s="19"/>
    </row>
    <row r="570">
      <c r="B570" s="26"/>
      <c r="D570" s="18"/>
      <c r="E570" s="19"/>
      <c r="F570" s="19"/>
    </row>
    <row r="571">
      <c r="B571" s="26"/>
      <c r="D571" s="18"/>
      <c r="E571" s="19"/>
      <c r="F571" s="19"/>
    </row>
    <row r="572">
      <c r="B572" s="26"/>
      <c r="D572" s="18"/>
      <c r="E572" s="19"/>
      <c r="F572" s="19"/>
    </row>
    <row r="573">
      <c r="B573" s="26"/>
      <c r="D573" s="18"/>
      <c r="E573" s="19"/>
      <c r="F573" s="19"/>
    </row>
    <row r="574">
      <c r="B574" s="26"/>
      <c r="D574" s="18"/>
      <c r="E574" s="19"/>
      <c r="F574" s="19"/>
    </row>
    <row r="575">
      <c r="B575" s="26"/>
      <c r="D575" s="18"/>
      <c r="E575" s="19"/>
      <c r="F575" s="19"/>
    </row>
    <row r="576">
      <c r="B576" s="26"/>
      <c r="D576" s="18"/>
      <c r="E576" s="19"/>
      <c r="F576" s="19"/>
    </row>
    <row r="577">
      <c r="B577" s="26"/>
      <c r="D577" s="18"/>
      <c r="E577" s="19"/>
      <c r="F577" s="19"/>
    </row>
    <row r="578">
      <c r="B578" s="26"/>
      <c r="D578" s="18"/>
      <c r="E578" s="19"/>
      <c r="F578" s="19"/>
    </row>
    <row r="579">
      <c r="B579" s="26"/>
      <c r="D579" s="18"/>
      <c r="E579" s="19"/>
      <c r="F579" s="19"/>
    </row>
    <row r="580">
      <c r="B580" s="26"/>
      <c r="D580" s="18"/>
      <c r="E580" s="19"/>
      <c r="F580" s="19"/>
    </row>
    <row r="581">
      <c r="B581" s="26"/>
      <c r="D581" s="18"/>
      <c r="E581" s="19"/>
      <c r="F581" s="19"/>
    </row>
    <row r="582">
      <c r="B582" s="26"/>
      <c r="D582" s="18"/>
      <c r="E582" s="19"/>
      <c r="F582" s="19"/>
    </row>
    <row r="583">
      <c r="B583" s="26"/>
      <c r="D583" s="18"/>
      <c r="E583" s="19"/>
      <c r="F583" s="19"/>
    </row>
    <row r="584">
      <c r="B584" s="26"/>
      <c r="D584" s="18"/>
      <c r="E584" s="19"/>
      <c r="F584" s="19"/>
    </row>
    <row r="585">
      <c r="B585" s="26"/>
      <c r="D585" s="18"/>
      <c r="E585" s="19"/>
      <c r="F585" s="19"/>
    </row>
    <row r="586">
      <c r="B586" s="26"/>
      <c r="D586" s="18"/>
      <c r="E586" s="19"/>
      <c r="F586" s="19"/>
    </row>
    <row r="587">
      <c r="B587" s="26"/>
      <c r="D587" s="18"/>
      <c r="E587" s="19"/>
      <c r="F587" s="19"/>
    </row>
    <row r="588">
      <c r="B588" s="26"/>
      <c r="D588" s="18"/>
      <c r="E588" s="19"/>
      <c r="F588" s="19"/>
    </row>
    <row r="589">
      <c r="B589" s="26"/>
      <c r="D589" s="18"/>
      <c r="E589" s="19"/>
      <c r="F589" s="19"/>
    </row>
    <row r="590">
      <c r="B590" s="26"/>
      <c r="D590" s="18"/>
      <c r="E590" s="19"/>
      <c r="F590" s="19"/>
    </row>
    <row r="591">
      <c r="B591" s="26"/>
      <c r="D591" s="18"/>
      <c r="E591" s="19"/>
      <c r="F591" s="19"/>
    </row>
    <row r="592">
      <c r="B592" s="26"/>
      <c r="D592" s="18"/>
      <c r="E592" s="19"/>
      <c r="F592" s="19"/>
    </row>
    <row r="593">
      <c r="B593" s="26"/>
      <c r="D593" s="18"/>
      <c r="E593" s="19"/>
      <c r="F593" s="19"/>
    </row>
    <row r="594">
      <c r="B594" s="26"/>
      <c r="D594" s="18"/>
      <c r="E594" s="19"/>
      <c r="F594" s="19"/>
    </row>
    <row r="595">
      <c r="B595" s="26"/>
      <c r="D595" s="18"/>
      <c r="E595" s="19"/>
      <c r="F595" s="19"/>
    </row>
    <row r="596">
      <c r="B596" s="26"/>
      <c r="D596" s="18"/>
      <c r="E596" s="19"/>
      <c r="F596" s="19"/>
    </row>
    <row r="597">
      <c r="B597" s="26"/>
      <c r="D597" s="18"/>
      <c r="E597" s="19"/>
      <c r="F597" s="19"/>
    </row>
    <row r="598">
      <c r="B598" s="26"/>
      <c r="D598" s="18"/>
      <c r="E598" s="19"/>
      <c r="F598" s="19"/>
    </row>
    <row r="599">
      <c r="B599" s="26"/>
      <c r="D599" s="18"/>
      <c r="E599" s="19"/>
      <c r="F599" s="19"/>
    </row>
    <row r="600">
      <c r="B600" s="26"/>
      <c r="D600" s="18"/>
      <c r="E600" s="19"/>
      <c r="F600" s="19"/>
    </row>
    <row r="601">
      <c r="B601" s="26"/>
      <c r="D601" s="18"/>
      <c r="E601" s="19"/>
      <c r="F601" s="19"/>
    </row>
    <row r="602">
      <c r="B602" s="26"/>
      <c r="D602" s="18"/>
      <c r="E602" s="19"/>
      <c r="F602" s="19"/>
    </row>
    <row r="603">
      <c r="B603" s="26"/>
      <c r="D603" s="18"/>
      <c r="E603" s="19"/>
      <c r="F603" s="19"/>
    </row>
    <row r="604">
      <c r="B604" s="26"/>
      <c r="D604" s="18"/>
      <c r="E604" s="19"/>
      <c r="F604" s="19"/>
    </row>
    <row r="605">
      <c r="B605" s="26"/>
      <c r="D605" s="18"/>
      <c r="E605" s="19"/>
      <c r="F605" s="19"/>
    </row>
    <row r="606">
      <c r="B606" s="26"/>
      <c r="D606" s="18"/>
      <c r="E606" s="19"/>
      <c r="F606" s="19"/>
    </row>
    <row r="607">
      <c r="B607" s="26"/>
      <c r="D607" s="18"/>
      <c r="E607" s="19"/>
      <c r="F607" s="19"/>
    </row>
    <row r="608">
      <c r="B608" s="26"/>
      <c r="D608" s="18"/>
      <c r="E608" s="19"/>
      <c r="F608" s="19"/>
    </row>
    <row r="609">
      <c r="B609" s="26"/>
      <c r="D609" s="18"/>
      <c r="E609" s="19"/>
      <c r="F609" s="19"/>
    </row>
    <row r="610">
      <c r="B610" s="26"/>
      <c r="D610" s="18"/>
      <c r="E610" s="19"/>
      <c r="F610" s="19"/>
    </row>
    <row r="611">
      <c r="B611" s="26"/>
      <c r="D611" s="18"/>
      <c r="E611" s="19"/>
      <c r="F611" s="19"/>
    </row>
    <row r="612">
      <c r="B612" s="26"/>
      <c r="D612" s="18"/>
      <c r="E612" s="19"/>
      <c r="F612" s="19"/>
    </row>
    <row r="613">
      <c r="B613" s="26"/>
      <c r="D613" s="18"/>
      <c r="E613" s="19"/>
      <c r="F613" s="19"/>
    </row>
    <row r="614">
      <c r="B614" s="26"/>
      <c r="D614" s="18"/>
      <c r="E614" s="19"/>
      <c r="F614" s="19"/>
    </row>
    <row r="615">
      <c r="B615" s="26"/>
      <c r="D615" s="18"/>
      <c r="E615" s="19"/>
      <c r="F615" s="19"/>
    </row>
    <row r="616">
      <c r="B616" s="26"/>
      <c r="D616" s="18"/>
      <c r="E616" s="19"/>
      <c r="F616" s="19"/>
    </row>
    <row r="617">
      <c r="B617" s="26"/>
      <c r="D617" s="18"/>
      <c r="E617" s="19"/>
      <c r="F617" s="19"/>
    </row>
    <row r="618">
      <c r="B618" s="26"/>
      <c r="D618" s="18"/>
      <c r="E618" s="19"/>
      <c r="F618" s="19"/>
    </row>
    <row r="619">
      <c r="B619" s="26"/>
      <c r="D619" s="18"/>
      <c r="E619" s="19"/>
      <c r="F619" s="19"/>
    </row>
    <row r="620">
      <c r="B620" s="26"/>
      <c r="D620" s="18"/>
      <c r="E620" s="19"/>
      <c r="F620" s="19"/>
    </row>
    <row r="621">
      <c r="B621" s="26"/>
      <c r="D621" s="18"/>
      <c r="E621" s="19"/>
      <c r="F621" s="19"/>
    </row>
    <row r="622">
      <c r="B622" s="26"/>
      <c r="D622" s="18"/>
      <c r="E622" s="19"/>
      <c r="F622" s="19"/>
    </row>
    <row r="623">
      <c r="B623" s="26"/>
      <c r="D623" s="18"/>
      <c r="E623" s="19"/>
      <c r="F623" s="19"/>
    </row>
    <row r="624">
      <c r="B624" s="26"/>
      <c r="D624" s="18"/>
      <c r="E624" s="19"/>
      <c r="F624" s="19"/>
    </row>
    <row r="625">
      <c r="B625" s="26"/>
      <c r="D625" s="18"/>
      <c r="E625" s="19"/>
      <c r="F625" s="19"/>
    </row>
    <row r="626">
      <c r="B626" s="26"/>
      <c r="D626" s="18"/>
      <c r="E626" s="19"/>
      <c r="F626" s="19"/>
    </row>
    <row r="627">
      <c r="B627" s="26"/>
      <c r="D627" s="18"/>
      <c r="E627" s="19"/>
      <c r="F627" s="19"/>
    </row>
    <row r="628">
      <c r="B628" s="26"/>
      <c r="D628" s="18"/>
      <c r="E628" s="19"/>
      <c r="F628" s="19"/>
    </row>
    <row r="629">
      <c r="B629" s="26"/>
      <c r="D629" s="18"/>
      <c r="E629" s="19"/>
      <c r="F629" s="19"/>
    </row>
    <row r="630">
      <c r="B630" s="26"/>
      <c r="D630" s="18"/>
      <c r="E630" s="19"/>
      <c r="F630" s="19"/>
    </row>
    <row r="631">
      <c r="B631" s="26"/>
      <c r="D631" s="18"/>
      <c r="E631" s="19"/>
      <c r="F631" s="19"/>
    </row>
    <row r="632">
      <c r="B632" s="26"/>
      <c r="D632" s="18"/>
      <c r="E632" s="19"/>
      <c r="F632" s="19"/>
    </row>
    <row r="633">
      <c r="B633" s="26"/>
      <c r="D633" s="18"/>
      <c r="E633" s="19"/>
      <c r="F633" s="19"/>
    </row>
    <row r="634">
      <c r="B634" s="26"/>
      <c r="D634" s="18"/>
      <c r="E634" s="19"/>
      <c r="F634" s="19"/>
    </row>
    <row r="635">
      <c r="B635" s="26"/>
      <c r="D635" s="18"/>
      <c r="E635" s="19"/>
      <c r="F635" s="19"/>
    </row>
    <row r="636">
      <c r="B636" s="26"/>
      <c r="D636" s="18"/>
      <c r="E636" s="19"/>
      <c r="F636" s="19"/>
    </row>
    <row r="637">
      <c r="B637" s="26"/>
      <c r="D637" s="18"/>
      <c r="E637" s="19"/>
      <c r="F637" s="19"/>
    </row>
    <row r="638">
      <c r="B638" s="26"/>
      <c r="D638" s="18"/>
      <c r="E638" s="19"/>
      <c r="F638" s="19"/>
    </row>
    <row r="639">
      <c r="B639" s="26"/>
      <c r="D639" s="18"/>
      <c r="E639" s="19"/>
      <c r="F639" s="19"/>
    </row>
    <row r="640">
      <c r="B640" s="26"/>
      <c r="D640" s="18"/>
      <c r="E640" s="19"/>
      <c r="F640" s="19"/>
    </row>
    <row r="641">
      <c r="B641" s="26"/>
      <c r="D641" s="18"/>
      <c r="E641" s="19"/>
      <c r="F641" s="19"/>
    </row>
    <row r="642">
      <c r="B642" s="26"/>
      <c r="D642" s="18"/>
      <c r="E642" s="19"/>
      <c r="F642" s="19"/>
    </row>
    <row r="643">
      <c r="B643" s="26"/>
      <c r="D643" s="18"/>
      <c r="E643" s="19"/>
      <c r="F643" s="19"/>
    </row>
    <row r="644">
      <c r="B644" s="26"/>
      <c r="D644" s="18"/>
      <c r="E644" s="19"/>
      <c r="F644" s="19"/>
    </row>
    <row r="645">
      <c r="B645" s="26"/>
      <c r="D645" s="18"/>
      <c r="E645" s="19"/>
      <c r="F645" s="19"/>
    </row>
    <row r="646">
      <c r="B646" s="26"/>
      <c r="D646" s="18"/>
      <c r="E646" s="19"/>
      <c r="F646" s="19"/>
    </row>
    <row r="647">
      <c r="B647" s="26"/>
      <c r="D647" s="18"/>
      <c r="E647" s="19"/>
      <c r="F647" s="19"/>
    </row>
    <row r="648">
      <c r="B648" s="26"/>
      <c r="D648" s="18"/>
      <c r="E648" s="19"/>
      <c r="F648" s="19"/>
    </row>
    <row r="649">
      <c r="B649" s="26"/>
      <c r="D649" s="18"/>
      <c r="E649" s="19"/>
      <c r="F649" s="19"/>
    </row>
    <row r="650">
      <c r="B650" s="26"/>
      <c r="D650" s="18"/>
      <c r="E650" s="19"/>
      <c r="F650" s="19"/>
    </row>
    <row r="651">
      <c r="B651" s="26"/>
      <c r="D651" s="18"/>
      <c r="E651" s="19"/>
      <c r="F651" s="19"/>
    </row>
    <row r="652">
      <c r="B652" s="26"/>
      <c r="D652" s="18"/>
      <c r="E652" s="19"/>
      <c r="F652" s="19"/>
    </row>
    <row r="653">
      <c r="B653" s="26"/>
      <c r="D653" s="18"/>
      <c r="E653" s="19"/>
      <c r="F653" s="19"/>
    </row>
    <row r="654">
      <c r="B654" s="26"/>
      <c r="D654" s="18"/>
      <c r="E654" s="19"/>
      <c r="F654" s="19"/>
    </row>
    <row r="655">
      <c r="B655" s="26"/>
      <c r="D655" s="18"/>
      <c r="E655" s="19"/>
      <c r="F655" s="19"/>
    </row>
    <row r="656">
      <c r="B656" s="26"/>
      <c r="D656" s="18"/>
      <c r="E656" s="19"/>
      <c r="F656" s="19"/>
    </row>
    <row r="657">
      <c r="B657" s="26"/>
      <c r="D657" s="18"/>
      <c r="E657" s="19"/>
      <c r="F657" s="19"/>
    </row>
    <row r="658">
      <c r="B658" s="26"/>
      <c r="D658" s="18"/>
      <c r="E658" s="19"/>
      <c r="F658" s="19"/>
    </row>
    <row r="659">
      <c r="B659" s="26"/>
      <c r="D659" s="18"/>
      <c r="E659" s="19"/>
      <c r="F659" s="19"/>
    </row>
    <row r="660">
      <c r="B660" s="26"/>
      <c r="D660" s="18"/>
      <c r="E660" s="19"/>
      <c r="F660" s="19"/>
    </row>
    <row r="661">
      <c r="B661" s="26"/>
      <c r="D661" s="18"/>
      <c r="E661" s="19"/>
      <c r="F661" s="19"/>
    </row>
    <row r="662">
      <c r="B662" s="26"/>
      <c r="D662" s="18"/>
      <c r="E662" s="19"/>
      <c r="F662" s="19"/>
    </row>
    <row r="663">
      <c r="B663" s="26"/>
      <c r="D663" s="18"/>
      <c r="E663" s="19"/>
      <c r="F663" s="19"/>
    </row>
    <row r="664">
      <c r="B664" s="26"/>
      <c r="D664" s="18"/>
      <c r="E664" s="19"/>
      <c r="F664" s="19"/>
    </row>
    <row r="665">
      <c r="B665" s="26"/>
      <c r="D665" s="18"/>
      <c r="E665" s="19"/>
      <c r="F665" s="19"/>
    </row>
    <row r="666">
      <c r="B666" s="26"/>
      <c r="D666" s="18"/>
      <c r="E666" s="19"/>
      <c r="F666" s="19"/>
    </row>
    <row r="667">
      <c r="B667" s="26"/>
      <c r="D667" s="18"/>
      <c r="E667" s="19"/>
      <c r="F667" s="19"/>
    </row>
    <row r="668">
      <c r="B668" s="26"/>
      <c r="D668" s="18"/>
      <c r="E668" s="19"/>
      <c r="F668" s="19"/>
    </row>
    <row r="669">
      <c r="B669" s="26"/>
      <c r="D669" s="18"/>
      <c r="E669" s="19"/>
      <c r="F669" s="19"/>
    </row>
    <row r="670">
      <c r="B670" s="26"/>
      <c r="D670" s="18"/>
      <c r="E670" s="19"/>
      <c r="F670" s="19"/>
    </row>
    <row r="671">
      <c r="B671" s="26"/>
      <c r="D671" s="18"/>
      <c r="E671" s="19"/>
      <c r="F671" s="19"/>
    </row>
    <row r="672">
      <c r="B672" s="26"/>
      <c r="D672" s="18"/>
      <c r="E672" s="19"/>
      <c r="F672" s="19"/>
    </row>
    <row r="673">
      <c r="B673" s="26"/>
      <c r="D673" s="18"/>
      <c r="E673" s="19"/>
      <c r="F673" s="19"/>
    </row>
    <row r="674">
      <c r="B674" s="26"/>
      <c r="D674" s="18"/>
      <c r="E674" s="19"/>
      <c r="F674" s="19"/>
    </row>
    <row r="675">
      <c r="B675" s="26"/>
      <c r="D675" s="18"/>
      <c r="E675" s="19"/>
      <c r="F675" s="19"/>
    </row>
    <row r="676">
      <c r="B676" s="26"/>
      <c r="D676" s="18"/>
      <c r="E676" s="19"/>
      <c r="F676" s="19"/>
    </row>
    <row r="677">
      <c r="B677" s="26"/>
      <c r="D677" s="18"/>
      <c r="E677" s="19"/>
      <c r="F677" s="19"/>
    </row>
    <row r="678">
      <c r="B678" s="26"/>
      <c r="D678" s="18"/>
      <c r="E678" s="19"/>
      <c r="F678" s="19"/>
    </row>
    <row r="679">
      <c r="B679" s="26"/>
      <c r="D679" s="18"/>
      <c r="E679" s="19"/>
      <c r="F679" s="19"/>
    </row>
    <row r="680">
      <c r="B680" s="26"/>
      <c r="D680" s="18"/>
      <c r="E680" s="19"/>
      <c r="F680" s="19"/>
    </row>
    <row r="681">
      <c r="B681" s="26"/>
      <c r="D681" s="18"/>
      <c r="E681" s="19"/>
      <c r="F681" s="19"/>
    </row>
    <row r="682">
      <c r="B682" s="26"/>
      <c r="D682" s="18"/>
      <c r="E682" s="19"/>
      <c r="F682" s="19"/>
    </row>
    <row r="683">
      <c r="B683" s="26"/>
      <c r="D683" s="18"/>
      <c r="E683" s="19"/>
      <c r="F683" s="19"/>
    </row>
    <row r="684">
      <c r="B684" s="26"/>
      <c r="D684" s="18"/>
      <c r="E684" s="19"/>
      <c r="F684" s="19"/>
    </row>
    <row r="685">
      <c r="B685" s="26"/>
      <c r="D685" s="18"/>
      <c r="E685" s="19"/>
      <c r="F685" s="19"/>
    </row>
    <row r="686">
      <c r="B686" s="26"/>
      <c r="D686" s="18"/>
      <c r="E686" s="19"/>
      <c r="F686" s="19"/>
    </row>
    <row r="687">
      <c r="B687" s="26"/>
      <c r="D687" s="18"/>
      <c r="E687" s="19"/>
      <c r="F687" s="19"/>
    </row>
    <row r="688">
      <c r="B688" s="26"/>
      <c r="D688" s="18"/>
      <c r="E688" s="19"/>
      <c r="F688" s="19"/>
    </row>
    <row r="689">
      <c r="B689" s="26"/>
      <c r="D689" s="18"/>
      <c r="E689" s="19"/>
      <c r="F689" s="19"/>
    </row>
    <row r="690">
      <c r="B690" s="26"/>
      <c r="D690" s="18"/>
      <c r="E690" s="19"/>
      <c r="F690" s="19"/>
    </row>
    <row r="691">
      <c r="B691" s="26"/>
      <c r="D691" s="18"/>
      <c r="E691" s="19"/>
      <c r="F691" s="19"/>
    </row>
    <row r="692">
      <c r="B692" s="26"/>
      <c r="D692" s="18"/>
      <c r="E692" s="19"/>
      <c r="F692" s="19"/>
    </row>
    <row r="693">
      <c r="B693" s="26"/>
      <c r="D693" s="18"/>
      <c r="E693" s="19"/>
      <c r="F693" s="19"/>
    </row>
    <row r="694">
      <c r="B694" s="26"/>
      <c r="D694" s="18"/>
      <c r="E694" s="19"/>
      <c r="F694" s="19"/>
    </row>
    <row r="695">
      <c r="B695" s="26"/>
      <c r="D695" s="18"/>
      <c r="E695" s="19"/>
      <c r="F695" s="19"/>
    </row>
    <row r="696">
      <c r="B696" s="26"/>
      <c r="D696" s="18"/>
      <c r="E696" s="19"/>
      <c r="F696" s="19"/>
    </row>
    <row r="697">
      <c r="B697" s="26"/>
      <c r="D697" s="18"/>
      <c r="E697" s="19"/>
      <c r="F697" s="19"/>
    </row>
    <row r="698">
      <c r="B698" s="26"/>
      <c r="D698" s="18"/>
      <c r="E698" s="19"/>
      <c r="F698" s="19"/>
    </row>
    <row r="699">
      <c r="B699" s="26"/>
      <c r="D699" s="18"/>
      <c r="E699" s="19"/>
      <c r="F699" s="19"/>
    </row>
    <row r="700">
      <c r="B700" s="26"/>
      <c r="D700" s="18"/>
      <c r="E700" s="19"/>
      <c r="F700" s="19"/>
    </row>
    <row r="701">
      <c r="B701" s="26"/>
      <c r="D701" s="18"/>
      <c r="E701" s="19"/>
      <c r="F701" s="19"/>
    </row>
    <row r="702">
      <c r="B702" s="26"/>
      <c r="D702" s="18"/>
      <c r="E702" s="19"/>
      <c r="F702" s="19"/>
    </row>
    <row r="703">
      <c r="B703" s="26"/>
      <c r="D703" s="18"/>
      <c r="E703" s="19"/>
      <c r="F703" s="19"/>
    </row>
    <row r="704">
      <c r="B704" s="26"/>
      <c r="D704" s="18"/>
      <c r="E704" s="19"/>
      <c r="F704" s="19"/>
    </row>
    <row r="705">
      <c r="B705" s="26"/>
      <c r="D705" s="18"/>
      <c r="E705" s="19"/>
      <c r="F705" s="19"/>
    </row>
    <row r="706">
      <c r="B706" s="26"/>
      <c r="D706" s="18"/>
      <c r="E706" s="19"/>
      <c r="F706" s="19"/>
    </row>
    <row r="707">
      <c r="B707" s="26"/>
      <c r="D707" s="18"/>
      <c r="E707" s="19"/>
      <c r="F707" s="19"/>
    </row>
    <row r="708">
      <c r="B708" s="26"/>
      <c r="D708" s="18"/>
      <c r="E708" s="19"/>
      <c r="F708" s="19"/>
    </row>
    <row r="709">
      <c r="B709" s="26"/>
      <c r="D709" s="18"/>
      <c r="E709" s="19"/>
      <c r="F709" s="19"/>
    </row>
    <row r="710">
      <c r="B710" s="26"/>
      <c r="D710" s="18"/>
      <c r="E710" s="19"/>
      <c r="F710" s="19"/>
    </row>
    <row r="711">
      <c r="B711" s="26"/>
      <c r="D711" s="18"/>
      <c r="E711" s="19"/>
      <c r="F711" s="19"/>
    </row>
    <row r="712">
      <c r="B712" s="26"/>
      <c r="D712" s="18"/>
      <c r="E712" s="19"/>
      <c r="F712" s="19"/>
    </row>
    <row r="713">
      <c r="B713" s="26"/>
      <c r="D713" s="18"/>
      <c r="E713" s="19"/>
      <c r="F713" s="19"/>
    </row>
    <row r="714">
      <c r="B714" s="26"/>
      <c r="D714" s="18"/>
      <c r="E714" s="19"/>
      <c r="F714" s="19"/>
    </row>
    <row r="715">
      <c r="B715" s="26"/>
      <c r="D715" s="18"/>
      <c r="E715" s="19"/>
      <c r="F715" s="19"/>
    </row>
    <row r="716">
      <c r="B716" s="26"/>
      <c r="D716" s="18"/>
      <c r="E716" s="19"/>
      <c r="F716" s="19"/>
    </row>
    <row r="717">
      <c r="B717" s="26"/>
      <c r="D717" s="18"/>
      <c r="E717" s="19"/>
      <c r="F717" s="19"/>
    </row>
    <row r="718">
      <c r="B718" s="26"/>
      <c r="D718" s="18"/>
      <c r="E718" s="19"/>
      <c r="F718" s="19"/>
    </row>
    <row r="719">
      <c r="B719" s="26"/>
      <c r="D719" s="18"/>
      <c r="E719" s="19"/>
      <c r="F719" s="19"/>
    </row>
    <row r="720">
      <c r="B720" s="26"/>
      <c r="D720" s="18"/>
      <c r="E720" s="19"/>
      <c r="F720" s="19"/>
    </row>
    <row r="721">
      <c r="B721" s="26"/>
      <c r="D721" s="18"/>
      <c r="E721" s="19"/>
      <c r="F721" s="19"/>
    </row>
    <row r="722">
      <c r="B722" s="26"/>
      <c r="D722" s="18"/>
      <c r="E722" s="19"/>
      <c r="F722" s="19"/>
    </row>
    <row r="723">
      <c r="B723" s="26"/>
      <c r="D723" s="18"/>
      <c r="E723" s="19"/>
      <c r="F723" s="19"/>
    </row>
    <row r="724">
      <c r="B724" s="26"/>
      <c r="D724" s="18"/>
      <c r="E724" s="19"/>
      <c r="F724" s="19"/>
    </row>
    <row r="725">
      <c r="B725" s="26"/>
      <c r="D725" s="18"/>
      <c r="E725" s="19"/>
      <c r="F725" s="19"/>
    </row>
    <row r="726">
      <c r="B726" s="26"/>
      <c r="D726" s="18"/>
      <c r="E726" s="19"/>
      <c r="F726" s="19"/>
    </row>
    <row r="727">
      <c r="B727" s="26"/>
      <c r="D727" s="18"/>
      <c r="E727" s="19"/>
      <c r="F727" s="19"/>
    </row>
    <row r="728">
      <c r="B728" s="26"/>
      <c r="D728" s="18"/>
      <c r="E728" s="19"/>
      <c r="F728" s="19"/>
    </row>
    <row r="729">
      <c r="B729" s="26"/>
      <c r="D729" s="18"/>
      <c r="E729" s="19"/>
      <c r="F729" s="19"/>
    </row>
    <row r="730">
      <c r="B730" s="26"/>
      <c r="D730" s="18"/>
      <c r="E730" s="19"/>
      <c r="F730" s="19"/>
    </row>
    <row r="731">
      <c r="B731" s="26"/>
      <c r="D731" s="18"/>
      <c r="E731" s="19"/>
      <c r="F731" s="19"/>
    </row>
    <row r="732">
      <c r="B732" s="26"/>
      <c r="D732" s="18"/>
      <c r="E732" s="19"/>
      <c r="F732" s="19"/>
    </row>
    <row r="733">
      <c r="B733" s="26"/>
      <c r="D733" s="18"/>
      <c r="E733" s="19"/>
      <c r="F733" s="19"/>
    </row>
    <row r="734">
      <c r="B734" s="26"/>
      <c r="D734" s="18"/>
      <c r="E734" s="19"/>
      <c r="F734" s="19"/>
    </row>
    <row r="735">
      <c r="B735" s="26"/>
      <c r="D735" s="18"/>
      <c r="E735" s="19"/>
      <c r="F735" s="19"/>
    </row>
    <row r="736">
      <c r="B736" s="26"/>
      <c r="D736" s="18"/>
      <c r="E736" s="19"/>
      <c r="F736" s="19"/>
    </row>
    <row r="737">
      <c r="B737" s="26"/>
      <c r="D737" s="18"/>
      <c r="E737" s="19"/>
      <c r="F737" s="19"/>
    </row>
    <row r="738">
      <c r="B738" s="26"/>
      <c r="D738" s="18"/>
      <c r="E738" s="19"/>
      <c r="F738" s="19"/>
    </row>
    <row r="739">
      <c r="B739" s="26"/>
      <c r="D739" s="18"/>
      <c r="E739" s="19"/>
      <c r="F739" s="19"/>
    </row>
    <row r="740">
      <c r="B740" s="26"/>
      <c r="D740" s="18"/>
      <c r="E740" s="19"/>
      <c r="F740" s="19"/>
    </row>
    <row r="741">
      <c r="B741" s="26"/>
      <c r="D741" s="18"/>
      <c r="E741" s="19"/>
      <c r="F741" s="19"/>
    </row>
    <row r="742">
      <c r="B742" s="26"/>
      <c r="D742" s="18"/>
      <c r="E742" s="19"/>
      <c r="F742" s="19"/>
    </row>
    <row r="743">
      <c r="B743" s="26"/>
      <c r="D743" s="18"/>
      <c r="E743" s="19"/>
      <c r="F743" s="19"/>
    </row>
    <row r="744">
      <c r="B744" s="26"/>
      <c r="D744" s="18"/>
      <c r="E744" s="19"/>
      <c r="F744" s="19"/>
    </row>
    <row r="745">
      <c r="B745" s="26"/>
      <c r="D745" s="18"/>
      <c r="E745" s="19"/>
      <c r="F745" s="19"/>
    </row>
    <row r="746">
      <c r="B746" s="26"/>
      <c r="D746" s="18"/>
      <c r="E746" s="19"/>
      <c r="F746" s="19"/>
    </row>
    <row r="747">
      <c r="B747" s="26"/>
      <c r="D747" s="18"/>
      <c r="E747" s="19"/>
      <c r="F747" s="19"/>
    </row>
    <row r="748">
      <c r="B748" s="26"/>
      <c r="D748" s="18"/>
      <c r="E748" s="19"/>
      <c r="F748" s="19"/>
    </row>
    <row r="749">
      <c r="B749" s="26"/>
      <c r="D749" s="18"/>
      <c r="E749" s="19"/>
      <c r="F749" s="19"/>
    </row>
    <row r="750">
      <c r="B750" s="26"/>
      <c r="D750" s="18"/>
      <c r="E750" s="19"/>
      <c r="F750" s="19"/>
    </row>
    <row r="751">
      <c r="B751" s="26"/>
      <c r="D751" s="18"/>
      <c r="E751" s="19"/>
      <c r="F751" s="19"/>
    </row>
    <row r="752">
      <c r="B752" s="26"/>
      <c r="D752" s="18"/>
      <c r="E752" s="19"/>
      <c r="F752" s="19"/>
    </row>
    <row r="753">
      <c r="B753" s="26"/>
      <c r="D753" s="18"/>
      <c r="E753" s="19"/>
      <c r="F753" s="19"/>
    </row>
    <row r="754">
      <c r="B754" s="26"/>
      <c r="D754" s="18"/>
      <c r="E754" s="19"/>
      <c r="F754" s="19"/>
    </row>
    <row r="755">
      <c r="B755" s="26"/>
      <c r="D755" s="18"/>
      <c r="E755" s="19"/>
      <c r="F755" s="19"/>
    </row>
    <row r="756">
      <c r="B756" s="26"/>
      <c r="D756" s="18"/>
      <c r="E756" s="19"/>
      <c r="F756" s="19"/>
    </row>
    <row r="757">
      <c r="B757" s="26"/>
      <c r="D757" s="18"/>
      <c r="E757" s="19"/>
      <c r="F757" s="19"/>
    </row>
    <row r="758">
      <c r="B758" s="26"/>
      <c r="D758" s="18"/>
      <c r="E758" s="19"/>
      <c r="F758" s="19"/>
    </row>
    <row r="759">
      <c r="B759" s="26"/>
      <c r="D759" s="18"/>
      <c r="E759" s="19"/>
      <c r="F759" s="19"/>
    </row>
    <row r="760">
      <c r="B760" s="26"/>
      <c r="D760" s="18"/>
      <c r="E760" s="19"/>
      <c r="F760" s="19"/>
    </row>
    <row r="761">
      <c r="B761" s="26"/>
      <c r="D761" s="18"/>
      <c r="E761" s="19"/>
      <c r="F761" s="19"/>
    </row>
    <row r="762">
      <c r="B762" s="26"/>
      <c r="D762" s="18"/>
      <c r="E762" s="19"/>
      <c r="F762" s="19"/>
    </row>
    <row r="763">
      <c r="B763" s="26"/>
      <c r="D763" s="18"/>
      <c r="E763" s="19"/>
      <c r="F763" s="19"/>
    </row>
    <row r="764">
      <c r="B764" s="26"/>
      <c r="D764" s="18"/>
      <c r="E764" s="19"/>
      <c r="F764" s="19"/>
    </row>
    <row r="765">
      <c r="B765" s="26"/>
      <c r="D765" s="18"/>
      <c r="E765" s="19"/>
      <c r="F765" s="19"/>
    </row>
    <row r="766">
      <c r="B766" s="26"/>
      <c r="D766" s="18"/>
      <c r="E766" s="19"/>
      <c r="F766" s="19"/>
    </row>
    <row r="767">
      <c r="B767" s="26"/>
      <c r="D767" s="18"/>
      <c r="E767" s="19"/>
      <c r="F767" s="19"/>
    </row>
    <row r="768">
      <c r="B768" s="26"/>
      <c r="D768" s="18"/>
      <c r="E768" s="19"/>
      <c r="F768" s="19"/>
    </row>
    <row r="769">
      <c r="B769" s="26"/>
      <c r="D769" s="18"/>
      <c r="E769" s="19"/>
      <c r="F769" s="19"/>
    </row>
    <row r="770">
      <c r="B770" s="26"/>
      <c r="D770" s="18"/>
      <c r="E770" s="19"/>
      <c r="F770" s="19"/>
    </row>
    <row r="771">
      <c r="B771" s="26"/>
      <c r="D771" s="18"/>
      <c r="E771" s="19"/>
      <c r="F771" s="19"/>
    </row>
    <row r="772">
      <c r="B772" s="26"/>
      <c r="D772" s="18"/>
      <c r="E772" s="19"/>
      <c r="F772" s="19"/>
    </row>
    <row r="773">
      <c r="B773" s="26"/>
      <c r="D773" s="18"/>
      <c r="E773" s="19"/>
      <c r="F773" s="19"/>
    </row>
    <row r="774">
      <c r="B774" s="26"/>
      <c r="D774" s="18"/>
      <c r="E774" s="19"/>
      <c r="F774" s="19"/>
    </row>
    <row r="775">
      <c r="B775" s="26"/>
      <c r="D775" s="18"/>
      <c r="E775" s="19"/>
      <c r="F775" s="19"/>
    </row>
    <row r="776">
      <c r="B776" s="26"/>
      <c r="D776" s="18"/>
      <c r="E776" s="19"/>
      <c r="F776" s="19"/>
    </row>
    <row r="777">
      <c r="B777" s="26"/>
      <c r="D777" s="18"/>
      <c r="E777" s="19"/>
      <c r="F777" s="19"/>
    </row>
    <row r="778">
      <c r="B778" s="26"/>
      <c r="D778" s="18"/>
      <c r="E778" s="19"/>
      <c r="F778" s="19"/>
    </row>
    <row r="779">
      <c r="B779" s="26"/>
      <c r="D779" s="18"/>
      <c r="E779" s="19"/>
      <c r="F779" s="19"/>
    </row>
    <row r="780">
      <c r="B780" s="26"/>
      <c r="D780" s="18"/>
      <c r="E780" s="19"/>
      <c r="F780" s="19"/>
    </row>
    <row r="781">
      <c r="B781" s="26"/>
      <c r="D781" s="18"/>
      <c r="E781" s="19"/>
      <c r="F781" s="19"/>
    </row>
    <row r="782">
      <c r="B782" s="26"/>
      <c r="D782" s="18"/>
      <c r="E782" s="19"/>
      <c r="F782" s="19"/>
    </row>
    <row r="783">
      <c r="B783" s="26"/>
      <c r="D783" s="18"/>
      <c r="E783" s="19"/>
      <c r="F783" s="19"/>
    </row>
    <row r="784">
      <c r="B784" s="26"/>
      <c r="D784" s="18"/>
      <c r="E784" s="19"/>
      <c r="F784" s="19"/>
    </row>
    <row r="785">
      <c r="B785" s="26"/>
      <c r="D785" s="18"/>
      <c r="E785" s="19"/>
      <c r="F785" s="19"/>
    </row>
    <row r="786">
      <c r="B786" s="26"/>
      <c r="D786" s="18"/>
      <c r="E786" s="19"/>
      <c r="F786" s="19"/>
    </row>
    <row r="787">
      <c r="B787" s="26"/>
      <c r="D787" s="18"/>
      <c r="E787" s="19"/>
      <c r="F787" s="19"/>
    </row>
    <row r="788">
      <c r="B788" s="26"/>
      <c r="D788" s="18"/>
      <c r="E788" s="19"/>
      <c r="F788" s="19"/>
    </row>
    <row r="789">
      <c r="B789" s="26"/>
      <c r="D789" s="18"/>
      <c r="E789" s="19"/>
      <c r="F789" s="19"/>
    </row>
    <row r="790">
      <c r="B790" s="26"/>
      <c r="D790" s="18"/>
      <c r="E790" s="19"/>
      <c r="F790" s="19"/>
    </row>
    <row r="791">
      <c r="B791" s="26"/>
      <c r="D791" s="18"/>
      <c r="E791" s="19"/>
      <c r="F791" s="19"/>
    </row>
    <row r="792">
      <c r="B792" s="26"/>
      <c r="D792" s="18"/>
      <c r="E792" s="19"/>
      <c r="F792" s="19"/>
    </row>
    <row r="793">
      <c r="B793" s="26"/>
      <c r="D793" s="18"/>
      <c r="E793" s="19"/>
      <c r="F793" s="19"/>
    </row>
    <row r="794">
      <c r="B794" s="26"/>
      <c r="D794" s="18"/>
      <c r="E794" s="19"/>
      <c r="F794" s="19"/>
    </row>
    <row r="795">
      <c r="B795" s="26"/>
      <c r="D795" s="18"/>
      <c r="E795" s="19"/>
      <c r="F795" s="19"/>
    </row>
    <row r="796">
      <c r="B796" s="26"/>
      <c r="D796" s="18"/>
      <c r="E796" s="19"/>
      <c r="F796" s="19"/>
    </row>
    <row r="797">
      <c r="B797" s="26"/>
      <c r="D797" s="18"/>
      <c r="E797" s="19"/>
      <c r="F797" s="19"/>
    </row>
    <row r="798">
      <c r="B798" s="26"/>
      <c r="D798" s="18"/>
      <c r="E798" s="19"/>
      <c r="F798" s="19"/>
    </row>
    <row r="799">
      <c r="B799" s="26"/>
      <c r="D799" s="18"/>
      <c r="E799" s="19"/>
      <c r="F799" s="19"/>
    </row>
    <row r="800">
      <c r="B800" s="26"/>
      <c r="D800" s="18"/>
      <c r="E800" s="19"/>
      <c r="F800" s="19"/>
    </row>
    <row r="801">
      <c r="B801" s="26"/>
      <c r="D801" s="18"/>
      <c r="E801" s="19"/>
      <c r="F801" s="19"/>
    </row>
    <row r="802">
      <c r="B802" s="26"/>
      <c r="D802" s="18"/>
      <c r="E802" s="19"/>
      <c r="F802" s="19"/>
    </row>
    <row r="803">
      <c r="B803" s="26"/>
      <c r="D803" s="18"/>
      <c r="E803" s="19"/>
      <c r="F803" s="19"/>
    </row>
    <row r="804">
      <c r="B804" s="26"/>
      <c r="D804" s="18"/>
      <c r="E804" s="19"/>
      <c r="F804" s="19"/>
    </row>
    <row r="805">
      <c r="B805" s="26"/>
      <c r="D805" s="18"/>
      <c r="E805" s="19"/>
      <c r="F805" s="19"/>
    </row>
    <row r="806">
      <c r="B806" s="26"/>
      <c r="D806" s="18"/>
      <c r="E806" s="19"/>
      <c r="F806" s="19"/>
    </row>
    <row r="807">
      <c r="B807" s="26"/>
      <c r="D807" s="18"/>
      <c r="E807" s="19"/>
      <c r="F807" s="19"/>
    </row>
    <row r="808">
      <c r="B808" s="26"/>
      <c r="D808" s="18"/>
      <c r="E808" s="19"/>
      <c r="F808" s="19"/>
    </row>
    <row r="809">
      <c r="B809" s="26"/>
      <c r="D809" s="18"/>
      <c r="E809" s="19"/>
      <c r="F809" s="19"/>
    </row>
    <row r="810">
      <c r="B810" s="26"/>
      <c r="D810" s="18"/>
      <c r="E810" s="19"/>
      <c r="F810" s="19"/>
    </row>
    <row r="811">
      <c r="B811" s="26"/>
      <c r="D811" s="18"/>
      <c r="E811" s="19"/>
      <c r="F811" s="19"/>
    </row>
    <row r="812">
      <c r="B812" s="26"/>
      <c r="D812" s="18"/>
      <c r="E812" s="19"/>
      <c r="F812" s="19"/>
    </row>
    <row r="813">
      <c r="B813" s="26"/>
      <c r="D813" s="18"/>
      <c r="E813" s="19"/>
      <c r="F813" s="19"/>
    </row>
    <row r="814">
      <c r="B814" s="26"/>
      <c r="D814" s="18"/>
      <c r="E814" s="19"/>
      <c r="F814" s="19"/>
    </row>
    <row r="815">
      <c r="B815" s="26"/>
      <c r="D815" s="18"/>
      <c r="E815" s="19"/>
      <c r="F815" s="19"/>
    </row>
    <row r="816">
      <c r="B816" s="26"/>
      <c r="D816" s="18"/>
      <c r="E816" s="19"/>
      <c r="F816" s="19"/>
    </row>
    <row r="817">
      <c r="B817" s="26"/>
      <c r="D817" s="18"/>
      <c r="E817" s="19"/>
      <c r="F817" s="19"/>
    </row>
    <row r="818">
      <c r="B818" s="26"/>
      <c r="D818" s="18"/>
      <c r="E818" s="19"/>
      <c r="F818" s="19"/>
    </row>
    <row r="819">
      <c r="B819" s="26"/>
      <c r="D819" s="18"/>
      <c r="E819" s="19"/>
      <c r="F819" s="19"/>
    </row>
    <row r="820">
      <c r="B820" s="26"/>
      <c r="D820" s="18"/>
      <c r="E820" s="19"/>
      <c r="F820" s="19"/>
    </row>
    <row r="821">
      <c r="B821" s="26"/>
      <c r="D821" s="18"/>
      <c r="E821" s="19"/>
      <c r="F821" s="19"/>
    </row>
    <row r="822">
      <c r="B822" s="26"/>
      <c r="D822" s="18"/>
      <c r="E822" s="19"/>
      <c r="F822" s="19"/>
    </row>
    <row r="823">
      <c r="B823" s="26"/>
      <c r="D823" s="18"/>
      <c r="E823" s="19"/>
      <c r="F823" s="19"/>
    </row>
    <row r="824">
      <c r="B824" s="26"/>
      <c r="D824" s="18"/>
      <c r="E824" s="19"/>
      <c r="F824" s="19"/>
    </row>
    <row r="825">
      <c r="B825" s="26"/>
      <c r="D825" s="18"/>
      <c r="E825" s="19"/>
      <c r="F825" s="19"/>
    </row>
    <row r="826">
      <c r="B826" s="26"/>
      <c r="D826" s="18"/>
      <c r="E826" s="19"/>
      <c r="F826" s="19"/>
    </row>
    <row r="827">
      <c r="B827" s="26"/>
      <c r="D827" s="18"/>
      <c r="E827" s="19"/>
      <c r="F827" s="19"/>
    </row>
    <row r="828">
      <c r="B828" s="26"/>
      <c r="D828" s="18"/>
      <c r="E828" s="19"/>
      <c r="F828" s="19"/>
    </row>
    <row r="829">
      <c r="B829" s="26"/>
      <c r="D829" s="18"/>
      <c r="E829" s="19"/>
      <c r="F829" s="19"/>
    </row>
    <row r="830">
      <c r="B830" s="26"/>
      <c r="D830" s="18"/>
      <c r="E830" s="19"/>
      <c r="F830" s="19"/>
    </row>
    <row r="831">
      <c r="B831" s="26"/>
      <c r="D831" s="18"/>
      <c r="E831" s="19"/>
      <c r="F831" s="19"/>
    </row>
    <row r="832">
      <c r="B832" s="26"/>
      <c r="D832" s="18"/>
      <c r="E832" s="19"/>
      <c r="F832" s="19"/>
    </row>
    <row r="833">
      <c r="B833" s="26"/>
      <c r="D833" s="18"/>
      <c r="E833" s="19"/>
      <c r="F833" s="19"/>
    </row>
    <row r="834">
      <c r="B834" s="26"/>
      <c r="D834" s="18"/>
      <c r="E834" s="19"/>
      <c r="F834" s="19"/>
    </row>
    <row r="835">
      <c r="B835" s="26"/>
      <c r="D835" s="18"/>
      <c r="E835" s="19"/>
      <c r="F835" s="19"/>
    </row>
    <row r="836">
      <c r="B836" s="26"/>
      <c r="D836" s="18"/>
      <c r="E836" s="19"/>
      <c r="F836" s="19"/>
    </row>
    <row r="837">
      <c r="B837" s="26"/>
      <c r="D837" s="18"/>
      <c r="E837" s="19"/>
      <c r="F837" s="19"/>
    </row>
    <row r="838">
      <c r="B838" s="26"/>
      <c r="D838" s="18"/>
      <c r="E838" s="19"/>
      <c r="F838" s="19"/>
    </row>
    <row r="839">
      <c r="B839" s="26"/>
      <c r="D839" s="18"/>
      <c r="E839" s="19"/>
      <c r="F839" s="19"/>
    </row>
    <row r="840">
      <c r="B840" s="26"/>
      <c r="D840" s="18"/>
      <c r="E840" s="19"/>
      <c r="F840" s="19"/>
    </row>
    <row r="841">
      <c r="B841" s="26"/>
      <c r="D841" s="18"/>
      <c r="E841" s="19"/>
      <c r="F841" s="19"/>
    </row>
    <row r="842">
      <c r="B842" s="26"/>
      <c r="D842" s="18"/>
      <c r="E842" s="19"/>
      <c r="F842" s="19"/>
    </row>
    <row r="843">
      <c r="B843" s="26"/>
      <c r="D843" s="18"/>
      <c r="E843" s="19"/>
      <c r="F843" s="19"/>
    </row>
    <row r="844">
      <c r="B844" s="26"/>
      <c r="D844" s="18"/>
      <c r="E844" s="19"/>
      <c r="F844" s="19"/>
    </row>
    <row r="845">
      <c r="B845" s="26"/>
      <c r="D845" s="18"/>
      <c r="E845" s="19"/>
      <c r="F845" s="19"/>
    </row>
    <row r="846">
      <c r="B846" s="26"/>
      <c r="D846" s="18"/>
      <c r="E846" s="19"/>
      <c r="F846" s="19"/>
    </row>
    <row r="847">
      <c r="B847" s="26"/>
      <c r="D847" s="18"/>
      <c r="E847" s="19"/>
      <c r="F847" s="19"/>
    </row>
    <row r="848">
      <c r="B848" s="26"/>
      <c r="D848" s="18"/>
      <c r="E848" s="19"/>
      <c r="F848" s="19"/>
    </row>
    <row r="849">
      <c r="B849" s="26"/>
      <c r="D849" s="18"/>
      <c r="E849" s="19"/>
      <c r="F849" s="19"/>
    </row>
    <row r="850">
      <c r="B850" s="26"/>
      <c r="D850" s="18"/>
      <c r="E850" s="19"/>
      <c r="F850" s="19"/>
    </row>
    <row r="851">
      <c r="B851" s="26"/>
      <c r="D851" s="18"/>
      <c r="E851" s="19"/>
      <c r="F851" s="19"/>
    </row>
    <row r="852">
      <c r="B852" s="26"/>
      <c r="D852" s="18"/>
      <c r="E852" s="19"/>
      <c r="F852" s="19"/>
    </row>
    <row r="853">
      <c r="B853" s="26"/>
      <c r="D853" s="18"/>
      <c r="E853" s="19"/>
      <c r="F853" s="19"/>
    </row>
    <row r="854">
      <c r="B854" s="26"/>
      <c r="D854" s="18"/>
      <c r="E854" s="19"/>
      <c r="F854" s="19"/>
    </row>
    <row r="855">
      <c r="B855" s="26"/>
      <c r="D855" s="18"/>
      <c r="E855" s="19"/>
      <c r="F855" s="19"/>
    </row>
    <row r="856">
      <c r="B856" s="26"/>
      <c r="D856" s="18"/>
      <c r="E856" s="19"/>
      <c r="F856" s="19"/>
    </row>
    <row r="857">
      <c r="B857" s="26"/>
      <c r="D857" s="18"/>
      <c r="E857" s="19"/>
      <c r="F857" s="19"/>
    </row>
    <row r="858">
      <c r="B858" s="26"/>
      <c r="D858" s="18"/>
      <c r="E858" s="19"/>
      <c r="F858" s="19"/>
    </row>
    <row r="859">
      <c r="B859" s="26"/>
      <c r="D859" s="18"/>
      <c r="E859" s="19"/>
      <c r="F859" s="19"/>
    </row>
    <row r="860">
      <c r="B860" s="26"/>
      <c r="D860" s="18"/>
      <c r="E860" s="19"/>
      <c r="F860" s="19"/>
    </row>
    <row r="861">
      <c r="B861" s="26"/>
      <c r="D861" s="18"/>
      <c r="E861" s="19"/>
      <c r="F861" s="19"/>
    </row>
    <row r="862">
      <c r="B862" s="26"/>
      <c r="D862" s="18"/>
      <c r="E862" s="19"/>
      <c r="F862" s="19"/>
    </row>
    <row r="863">
      <c r="B863" s="26"/>
      <c r="D863" s="18"/>
      <c r="E863" s="19"/>
      <c r="F863" s="19"/>
    </row>
    <row r="864">
      <c r="B864" s="26"/>
      <c r="D864" s="18"/>
      <c r="E864" s="19"/>
      <c r="F864" s="19"/>
    </row>
    <row r="865">
      <c r="B865" s="26"/>
      <c r="D865" s="18"/>
      <c r="E865" s="19"/>
      <c r="F865" s="19"/>
    </row>
    <row r="866">
      <c r="B866" s="26"/>
      <c r="D866" s="18"/>
      <c r="E866" s="19"/>
      <c r="F866" s="19"/>
    </row>
    <row r="867">
      <c r="B867" s="26"/>
      <c r="D867" s="18"/>
      <c r="E867" s="19"/>
      <c r="F867" s="19"/>
    </row>
    <row r="868">
      <c r="B868" s="26"/>
      <c r="D868" s="18"/>
      <c r="E868" s="19"/>
      <c r="F868" s="19"/>
    </row>
    <row r="869">
      <c r="B869" s="26"/>
      <c r="D869" s="18"/>
      <c r="E869" s="19"/>
      <c r="F869" s="19"/>
    </row>
    <row r="870">
      <c r="B870" s="26"/>
      <c r="D870" s="18"/>
      <c r="E870" s="19"/>
      <c r="F870" s="19"/>
    </row>
    <row r="871">
      <c r="B871" s="26"/>
      <c r="D871" s="18"/>
      <c r="E871" s="19"/>
      <c r="F871" s="19"/>
    </row>
    <row r="872">
      <c r="B872" s="26"/>
      <c r="D872" s="18"/>
      <c r="E872" s="19"/>
      <c r="F872" s="19"/>
    </row>
    <row r="873">
      <c r="B873" s="26"/>
      <c r="D873" s="18"/>
      <c r="E873" s="19"/>
      <c r="F873" s="19"/>
    </row>
    <row r="874">
      <c r="B874" s="26"/>
      <c r="D874" s="18"/>
      <c r="E874" s="19"/>
      <c r="F874" s="19"/>
    </row>
    <row r="875">
      <c r="B875" s="26"/>
      <c r="D875" s="18"/>
      <c r="E875" s="19"/>
      <c r="F875" s="19"/>
    </row>
    <row r="876">
      <c r="B876" s="26"/>
      <c r="D876" s="18"/>
      <c r="E876" s="19"/>
      <c r="F876" s="19"/>
    </row>
    <row r="877">
      <c r="B877" s="26"/>
      <c r="D877" s="18"/>
      <c r="E877" s="19"/>
      <c r="F877" s="19"/>
    </row>
    <row r="878">
      <c r="B878" s="26"/>
      <c r="D878" s="18"/>
      <c r="E878" s="19"/>
      <c r="F878" s="19"/>
    </row>
    <row r="879">
      <c r="B879" s="26"/>
      <c r="D879" s="18"/>
      <c r="E879" s="19"/>
      <c r="F879" s="19"/>
    </row>
    <row r="880">
      <c r="B880" s="26"/>
      <c r="D880" s="18"/>
      <c r="E880" s="19"/>
      <c r="F880" s="19"/>
    </row>
    <row r="881">
      <c r="B881" s="26"/>
      <c r="D881" s="18"/>
      <c r="E881" s="19"/>
      <c r="F881" s="19"/>
    </row>
    <row r="882">
      <c r="B882" s="26"/>
      <c r="D882" s="18"/>
      <c r="E882" s="19"/>
      <c r="F882" s="19"/>
    </row>
    <row r="883">
      <c r="B883" s="26"/>
      <c r="D883" s="18"/>
      <c r="E883" s="19"/>
      <c r="F883" s="19"/>
    </row>
    <row r="884">
      <c r="B884" s="26"/>
      <c r="D884" s="18"/>
      <c r="E884" s="19"/>
      <c r="F884" s="19"/>
    </row>
    <row r="885">
      <c r="B885" s="26"/>
      <c r="D885" s="18"/>
      <c r="E885" s="19"/>
      <c r="F885" s="19"/>
    </row>
    <row r="886">
      <c r="B886" s="26"/>
      <c r="D886" s="18"/>
      <c r="E886" s="19"/>
      <c r="F886" s="19"/>
    </row>
    <row r="887">
      <c r="B887" s="26"/>
      <c r="D887" s="18"/>
      <c r="E887" s="19"/>
      <c r="F887" s="19"/>
    </row>
    <row r="888">
      <c r="B888" s="26"/>
      <c r="D888" s="18"/>
      <c r="E888" s="19"/>
      <c r="F888" s="19"/>
    </row>
    <row r="889">
      <c r="B889" s="26"/>
      <c r="D889" s="18"/>
      <c r="E889" s="19"/>
      <c r="F889" s="19"/>
    </row>
    <row r="890">
      <c r="B890" s="26"/>
      <c r="D890" s="18"/>
      <c r="E890" s="19"/>
      <c r="F890" s="19"/>
    </row>
    <row r="891">
      <c r="B891" s="26"/>
      <c r="D891" s="18"/>
      <c r="E891" s="19"/>
      <c r="F891" s="19"/>
    </row>
    <row r="892">
      <c r="B892" s="26"/>
      <c r="D892" s="18"/>
      <c r="E892" s="19"/>
      <c r="F892" s="19"/>
    </row>
    <row r="893">
      <c r="B893" s="26"/>
      <c r="D893" s="18"/>
      <c r="E893" s="19"/>
      <c r="F893" s="19"/>
    </row>
    <row r="894">
      <c r="B894" s="26"/>
      <c r="D894" s="18"/>
      <c r="E894" s="19"/>
      <c r="F894" s="19"/>
    </row>
    <row r="895">
      <c r="B895" s="26"/>
      <c r="D895" s="18"/>
      <c r="E895" s="19"/>
      <c r="F895" s="19"/>
    </row>
    <row r="896">
      <c r="B896" s="26"/>
      <c r="D896" s="18"/>
      <c r="E896" s="19"/>
      <c r="F896" s="19"/>
    </row>
    <row r="897">
      <c r="B897" s="26"/>
      <c r="D897" s="18"/>
      <c r="E897" s="19"/>
      <c r="F897" s="19"/>
    </row>
    <row r="898">
      <c r="B898" s="26"/>
      <c r="D898" s="18"/>
      <c r="E898" s="19"/>
      <c r="F898" s="19"/>
    </row>
    <row r="899">
      <c r="B899" s="26"/>
      <c r="D899" s="18"/>
      <c r="E899" s="19"/>
      <c r="F899" s="19"/>
    </row>
    <row r="900">
      <c r="B900" s="26"/>
      <c r="D900" s="18"/>
      <c r="E900" s="19"/>
      <c r="F900" s="19"/>
    </row>
    <row r="901">
      <c r="B901" s="26"/>
      <c r="D901" s="18"/>
      <c r="E901" s="19"/>
      <c r="F901" s="19"/>
    </row>
    <row r="902">
      <c r="B902" s="26"/>
      <c r="D902" s="18"/>
      <c r="E902" s="19"/>
      <c r="F902" s="19"/>
    </row>
    <row r="903">
      <c r="B903" s="26"/>
      <c r="D903" s="18"/>
      <c r="E903" s="19"/>
      <c r="F903" s="19"/>
    </row>
    <row r="904">
      <c r="B904" s="26"/>
      <c r="D904" s="18"/>
      <c r="E904" s="19"/>
      <c r="F904" s="19"/>
    </row>
    <row r="905">
      <c r="B905" s="26"/>
      <c r="D905" s="18"/>
      <c r="E905" s="19"/>
      <c r="F905" s="19"/>
    </row>
    <row r="906">
      <c r="B906" s="26"/>
      <c r="D906" s="18"/>
      <c r="E906" s="19"/>
      <c r="F906" s="19"/>
    </row>
    <row r="907">
      <c r="B907" s="26"/>
      <c r="D907" s="18"/>
      <c r="E907" s="19"/>
      <c r="F907" s="19"/>
    </row>
    <row r="908">
      <c r="B908" s="26"/>
      <c r="D908" s="18"/>
      <c r="E908" s="19"/>
      <c r="F908" s="19"/>
    </row>
    <row r="909">
      <c r="B909" s="26"/>
      <c r="D909" s="18"/>
      <c r="E909" s="19"/>
      <c r="F909" s="19"/>
    </row>
    <row r="910">
      <c r="B910" s="26"/>
      <c r="D910" s="18"/>
      <c r="E910" s="19"/>
      <c r="F910" s="19"/>
    </row>
    <row r="911">
      <c r="B911" s="26"/>
      <c r="D911" s="18"/>
      <c r="E911" s="19"/>
      <c r="F911" s="19"/>
    </row>
    <row r="912">
      <c r="B912" s="26"/>
      <c r="D912" s="18"/>
      <c r="E912" s="19"/>
      <c r="F912" s="19"/>
    </row>
    <row r="913">
      <c r="B913" s="26"/>
      <c r="D913" s="18"/>
      <c r="E913" s="19"/>
      <c r="F913" s="19"/>
    </row>
    <row r="914">
      <c r="B914" s="26"/>
      <c r="D914" s="18"/>
      <c r="E914" s="19"/>
      <c r="F914" s="19"/>
    </row>
    <row r="915">
      <c r="B915" s="26"/>
      <c r="D915" s="18"/>
      <c r="E915" s="19"/>
      <c r="F915" s="19"/>
    </row>
    <row r="916">
      <c r="B916" s="26"/>
      <c r="D916" s="18"/>
      <c r="E916" s="19"/>
      <c r="F916" s="19"/>
    </row>
    <row r="917">
      <c r="B917" s="26"/>
      <c r="D917" s="18"/>
      <c r="E917" s="19"/>
      <c r="F917" s="19"/>
    </row>
    <row r="918">
      <c r="B918" s="26"/>
      <c r="D918" s="18"/>
      <c r="E918" s="19"/>
      <c r="F918" s="19"/>
    </row>
    <row r="919">
      <c r="B919" s="26"/>
      <c r="D919" s="18"/>
      <c r="E919" s="19"/>
      <c r="F919" s="19"/>
    </row>
    <row r="920">
      <c r="B920" s="26"/>
      <c r="D920" s="18"/>
      <c r="E920" s="19"/>
      <c r="F920" s="19"/>
    </row>
    <row r="921">
      <c r="B921" s="26"/>
      <c r="D921" s="18"/>
      <c r="E921" s="19"/>
      <c r="F921" s="19"/>
    </row>
    <row r="922">
      <c r="B922" s="26"/>
      <c r="D922" s="18"/>
      <c r="E922" s="19"/>
      <c r="F922" s="19"/>
    </row>
    <row r="923">
      <c r="B923" s="26"/>
      <c r="D923" s="18"/>
      <c r="E923" s="19"/>
      <c r="F923" s="19"/>
    </row>
    <row r="924">
      <c r="B924" s="26"/>
      <c r="D924" s="18"/>
      <c r="E924" s="19"/>
      <c r="F924" s="19"/>
    </row>
    <row r="925">
      <c r="B925" s="26"/>
      <c r="D925" s="18"/>
      <c r="E925" s="19"/>
      <c r="F925" s="19"/>
    </row>
    <row r="926">
      <c r="B926" s="26"/>
      <c r="D926" s="18"/>
      <c r="E926" s="19"/>
      <c r="F926" s="19"/>
    </row>
    <row r="927">
      <c r="B927" s="26"/>
      <c r="D927" s="18"/>
      <c r="E927" s="19"/>
      <c r="F927" s="19"/>
    </row>
    <row r="928">
      <c r="B928" s="26"/>
      <c r="D928" s="18"/>
      <c r="E928" s="19"/>
      <c r="F928" s="19"/>
    </row>
    <row r="929">
      <c r="B929" s="26"/>
      <c r="D929" s="18"/>
      <c r="E929" s="19"/>
      <c r="F929" s="19"/>
    </row>
    <row r="930">
      <c r="B930" s="26"/>
      <c r="D930" s="18"/>
      <c r="E930" s="19"/>
      <c r="F930" s="19"/>
    </row>
    <row r="931">
      <c r="B931" s="26"/>
      <c r="D931" s="18"/>
      <c r="E931" s="19"/>
      <c r="F931" s="19"/>
    </row>
    <row r="932">
      <c r="B932" s="26"/>
      <c r="D932" s="18"/>
      <c r="E932" s="19"/>
      <c r="F932" s="19"/>
    </row>
    <row r="933">
      <c r="B933" s="26"/>
      <c r="D933" s="18"/>
      <c r="E933" s="19"/>
      <c r="F933" s="19"/>
    </row>
    <row r="934">
      <c r="B934" s="26"/>
      <c r="D934" s="18"/>
      <c r="E934" s="19"/>
      <c r="F934" s="19"/>
    </row>
    <row r="935">
      <c r="B935" s="26"/>
      <c r="D935" s="18"/>
      <c r="E935" s="19"/>
      <c r="F935" s="19"/>
    </row>
    <row r="936">
      <c r="B936" s="26"/>
      <c r="D936" s="18"/>
      <c r="E936" s="19"/>
      <c r="F936" s="19"/>
    </row>
    <row r="937">
      <c r="B937" s="26"/>
      <c r="D937" s="18"/>
      <c r="E937" s="19"/>
      <c r="F937" s="19"/>
    </row>
    <row r="938">
      <c r="B938" s="26"/>
      <c r="D938" s="18"/>
      <c r="E938" s="19"/>
      <c r="F938" s="19"/>
    </row>
    <row r="939">
      <c r="B939" s="26"/>
      <c r="D939" s="18"/>
      <c r="E939" s="19"/>
      <c r="F939" s="19"/>
    </row>
    <row r="940">
      <c r="B940" s="26"/>
      <c r="D940" s="18"/>
      <c r="E940" s="19"/>
      <c r="F940" s="19"/>
    </row>
    <row r="941">
      <c r="B941" s="26"/>
      <c r="D941" s="18"/>
      <c r="E941" s="19"/>
      <c r="F941" s="19"/>
    </row>
    <row r="942">
      <c r="B942" s="26"/>
      <c r="D942" s="18"/>
      <c r="E942" s="19"/>
      <c r="F942" s="19"/>
    </row>
    <row r="943">
      <c r="B943" s="26"/>
      <c r="D943" s="18"/>
      <c r="E943" s="19"/>
      <c r="F943" s="19"/>
    </row>
    <row r="944">
      <c r="B944" s="26"/>
      <c r="D944" s="18"/>
      <c r="E944" s="19"/>
      <c r="F944" s="19"/>
    </row>
    <row r="945">
      <c r="B945" s="26"/>
      <c r="D945" s="18"/>
      <c r="E945" s="19"/>
      <c r="F945" s="19"/>
    </row>
    <row r="946">
      <c r="B946" s="26"/>
      <c r="D946" s="18"/>
      <c r="E946" s="19"/>
      <c r="F946" s="19"/>
    </row>
    <row r="947">
      <c r="B947" s="26"/>
      <c r="D947" s="18"/>
      <c r="E947" s="19"/>
      <c r="F947" s="19"/>
    </row>
    <row r="948">
      <c r="B948" s="26"/>
      <c r="D948" s="18"/>
      <c r="E948" s="19"/>
      <c r="F948" s="19"/>
    </row>
    <row r="949">
      <c r="B949" s="26"/>
      <c r="D949" s="18"/>
      <c r="E949" s="19"/>
      <c r="F949" s="19"/>
    </row>
    <row r="950">
      <c r="B950" s="26"/>
      <c r="D950" s="18"/>
      <c r="E950" s="19"/>
      <c r="F950" s="19"/>
    </row>
    <row r="951">
      <c r="B951" s="26"/>
      <c r="D951" s="18"/>
      <c r="E951" s="19"/>
      <c r="F951" s="19"/>
    </row>
    <row r="952">
      <c r="B952" s="26"/>
      <c r="D952" s="18"/>
      <c r="E952" s="19"/>
      <c r="F952" s="19"/>
    </row>
    <row r="953">
      <c r="B953" s="26"/>
      <c r="D953" s="18"/>
      <c r="E953" s="19"/>
      <c r="F953" s="19"/>
    </row>
    <row r="954">
      <c r="B954" s="26"/>
      <c r="D954" s="18"/>
      <c r="E954" s="19"/>
      <c r="F954" s="19"/>
    </row>
    <row r="955">
      <c r="B955" s="26"/>
      <c r="D955" s="18"/>
      <c r="E955" s="19"/>
      <c r="F955" s="19"/>
    </row>
    <row r="956">
      <c r="B956" s="26"/>
      <c r="D956" s="18"/>
      <c r="E956" s="19"/>
      <c r="F956" s="19"/>
    </row>
    <row r="957">
      <c r="B957" s="26"/>
      <c r="D957" s="18"/>
      <c r="E957" s="19"/>
      <c r="F957" s="19"/>
    </row>
    <row r="958">
      <c r="B958" s="26"/>
      <c r="D958" s="18"/>
      <c r="E958" s="19"/>
      <c r="F958" s="19"/>
    </row>
    <row r="959">
      <c r="B959" s="26"/>
      <c r="D959" s="18"/>
      <c r="E959" s="19"/>
      <c r="F959" s="19"/>
    </row>
    <row r="960">
      <c r="B960" s="26"/>
      <c r="D960" s="18"/>
      <c r="E960" s="19"/>
      <c r="F960" s="19"/>
    </row>
    <row r="961">
      <c r="B961" s="26"/>
      <c r="D961" s="18"/>
      <c r="E961" s="19"/>
      <c r="F961" s="19"/>
    </row>
    <row r="962">
      <c r="B962" s="26"/>
      <c r="D962" s="18"/>
      <c r="E962" s="19"/>
      <c r="F962" s="19"/>
    </row>
    <row r="963">
      <c r="B963" s="26"/>
      <c r="D963" s="18"/>
      <c r="E963" s="19"/>
      <c r="F963" s="19"/>
    </row>
    <row r="964">
      <c r="B964" s="26"/>
      <c r="D964" s="18"/>
      <c r="E964" s="19"/>
      <c r="F964" s="19"/>
    </row>
    <row r="965">
      <c r="B965" s="26"/>
      <c r="D965" s="18"/>
      <c r="E965" s="19"/>
      <c r="F965" s="19"/>
    </row>
    <row r="966">
      <c r="B966" s="26"/>
      <c r="D966" s="18"/>
      <c r="E966" s="19"/>
      <c r="F966" s="19"/>
    </row>
    <row r="967">
      <c r="B967" s="26"/>
      <c r="D967" s="18"/>
      <c r="E967" s="19"/>
      <c r="F967" s="19"/>
    </row>
    <row r="968">
      <c r="B968" s="26"/>
      <c r="D968" s="18"/>
      <c r="E968" s="19"/>
      <c r="F968" s="19"/>
    </row>
    <row r="969">
      <c r="B969" s="26"/>
      <c r="D969" s="18"/>
      <c r="E969" s="19"/>
      <c r="F969" s="19"/>
    </row>
    <row r="970">
      <c r="B970" s="26"/>
      <c r="D970" s="18"/>
      <c r="E970" s="19"/>
      <c r="F970" s="19"/>
    </row>
    <row r="971">
      <c r="B971" s="26"/>
      <c r="D971" s="18"/>
      <c r="E971" s="19"/>
      <c r="F971" s="19"/>
    </row>
    <row r="972">
      <c r="B972" s="26"/>
      <c r="D972" s="18"/>
      <c r="E972" s="19"/>
      <c r="F972" s="19"/>
    </row>
    <row r="973">
      <c r="B973" s="26"/>
      <c r="D973" s="18"/>
      <c r="E973" s="19"/>
      <c r="F973" s="19"/>
    </row>
    <row r="974">
      <c r="B974" s="26"/>
      <c r="D974" s="18"/>
      <c r="E974" s="19"/>
      <c r="F974" s="19"/>
    </row>
    <row r="975">
      <c r="B975" s="26"/>
      <c r="D975" s="18"/>
      <c r="E975" s="19"/>
      <c r="F975" s="19"/>
    </row>
    <row r="976">
      <c r="B976" s="26"/>
      <c r="D976" s="18"/>
      <c r="E976" s="19"/>
      <c r="F976" s="19"/>
    </row>
    <row r="977">
      <c r="B977" s="26"/>
      <c r="D977" s="18"/>
      <c r="E977" s="19"/>
      <c r="F977" s="19"/>
    </row>
    <row r="978">
      <c r="B978" s="26"/>
      <c r="D978" s="18"/>
      <c r="E978" s="19"/>
      <c r="F978" s="19"/>
    </row>
    <row r="979">
      <c r="B979" s="26"/>
      <c r="D979" s="18"/>
      <c r="E979" s="19"/>
      <c r="F979" s="19"/>
    </row>
    <row r="980">
      <c r="B980" s="26"/>
      <c r="D980" s="18"/>
      <c r="E980" s="19"/>
      <c r="F980" s="19"/>
    </row>
    <row r="981">
      <c r="B981" s="26"/>
      <c r="D981" s="18"/>
      <c r="E981" s="19"/>
      <c r="F981" s="19"/>
    </row>
    <row r="982">
      <c r="B982" s="26"/>
      <c r="D982" s="18"/>
      <c r="E982" s="19"/>
      <c r="F982" s="19"/>
    </row>
    <row r="983">
      <c r="B983" s="26"/>
      <c r="D983" s="18"/>
      <c r="E983" s="19"/>
      <c r="F983" s="19"/>
    </row>
    <row r="984">
      <c r="B984" s="26"/>
      <c r="D984" s="18"/>
      <c r="E984" s="19"/>
      <c r="F984" s="19"/>
    </row>
    <row r="985">
      <c r="B985" s="26"/>
      <c r="D985" s="18"/>
      <c r="E985" s="19"/>
      <c r="F985" s="19"/>
    </row>
    <row r="986">
      <c r="B986" s="26"/>
      <c r="D986" s="18"/>
      <c r="E986" s="19"/>
      <c r="F986" s="19"/>
    </row>
    <row r="987">
      <c r="B987" s="26"/>
      <c r="D987" s="18"/>
      <c r="E987" s="19"/>
      <c r="F987" s="19"/>
    </row>
    <row r="988">
      <c r="B988" s="26"/>
      <c r="D988" s="18"/>
      <c r="E988" s="19"/>
      <c r="F988" s="19"/>
    </row>
    <row r="989">
      <c r="B989" s="26"/>
      <c r="D989" s="18"/>
      <c r="E989" s="19"/>
      <c r="F989" s="19"/>
    </row>
    <row r="990">
      <c r="B990" s="26"/>
      <c r="D990" s="18"/>
      <c r="E990" s="19"/>
      <c r="F990" s="19"/>
    </row>
    <row r="991">
      <c r="B991" s="26"/>
      <c r="D991" s="18"/>
      <c r="E991" s="19"/>
      <c r="F991" s="19"/>
    </row>
    <row r="992">
      <c r="B992" s="26"/>
      <c r="D992" s="18"/>
      <c r="E992" s="19"/>
      <c r="F992" s="19"/>
    </row>
    <row r="993">
      <c r="B993" s="26"/>
      <c r="D993" s="18"/>
      <c r="E993" s="19"/>
      <c r="F993" s="19"/>
    </row>
    <row r="994">
      <c r="B994" s="26"/>
      <c r="D994" s="18"/>
      <c r="E994" s="19"/>
      <c r="F994" s="19"/>
    </row>
    <row r="995">
      <c r="B995" s="26"/>
      <c r="D995" s="18"/>
      <c r="E995" s="19"/>
      <c r="F995" s="19"/>
    </row>
    <row r="996">
      <c r="B996" s="26"/>
      <c r="D996" s="18"/>
      <c r="E996" s="19"/>
      <c r="F996" s="19"/>
    </row>
    <row r="997">
      <c r="B997" s="26"/>
      <c r="D997" s="18"/>
      <c r="E997" s="19"/>
      <c r="F997" s="19"/>
    </row>
    <row r="998">
      <c r="B998" s="26"/>
      <c r="D998" s="18"/>
      <c r="E998" s="19"/>
      <c r="F998" s="19"/>
    </row>
    <row r="999">
      <c r="B999" s="26"/>
      <c r="D999" s="18"/>
      <c r="E999" s="19"/>
      <c r="F999" s="19"/>
    </row>
    <row r="1000">
      <c r="B1000" s="26"/>
      <c r="D1000" s="18"/>
      <c r="E1000" s="19"/>
      <c r="F1000" s="19"/>
    </row>
    <row r="1001">
      <c r="B1001" s="26"/>
      <c r="D1001" s="18"/>
      <c r="E1001" s="19"/>
      <c r="F1001" s="19"/>
    </row>
    <row r="1002">
      <c r="B1002" s="26"/>
      <c r="D1002" s="18"/>
      <c r="E1002" s="19"/>
      <c r="F1002" s="19"/>
    </row>
    <row r="1003">
      <c r="B1003" s="26"/>
      <c r="D1003" s="18"/>
      <c r="E1003" s="19"/>
      <c r="F1003" s="19"/>
    </row>
    <row r="1004">
      <c r="B1004" s="26"/>
      <c r="D1004" s="18"/>
      <c r="E1004" s="19"/>
      <c r="F1004" s="19"/>
    </row>
    <row r="1005">
      <c r="B1005" s="26"/>
      <c r="D1005" s="18"/>
      <c r="E1005" s="19"/>
      <c r="F1005" s="19"/>
    </row>
    <row r="1006">
      <c r="B1006" s="26"/>
      <c r="D1006" s="18"/>
      <c r="E1006" s="19"/>
      <c r="F1006" s="19"/>
    </row>
    <row r="1007">
      <c r="B1007" s="26"/>
      <c r="D1007" s="18"/>
      <c r="E1007" s="19"/>
      <c r="F1007" s="19"/>
    </row>
    <row r="1008">
      <c r="B1008" s="26"/>
      <c r="D1008" s="18"/>
      <c r="E1008" s="19"/>
      <c r="F1008" s="19"/>
    </row>
    <row r="1009">
      <c r="B1009" s="26"/>
      <c r="D1009" s="18"/>
      <c r="E1009" s="19"/>
      <c r="F1009" s="19"/>
    </row>
    <row r="1010">
      <c r="B1010" s="26"/>
      <c r="D1010" s="18"/>
      <c r="E1010" s="19"/>
      <c r="F1010" s="19"/>
    </row>
    <row r="1011">
      <c r="B1011" s="26"/>
      <c r="D1011" s="18"/>
      <c r="E1011" s="19"/>
      <c r="F1011" s="19"/>
    </row>
    <row r="1012">
      <c r="B1012" s="26"/>
      <c r="D1012" s="18"/>
      <c r="E1012" s="19"/>
      <c r="F1012" s="19"/>
    </row>
    <row r="1013">
      <c r="B1013" s="26"/>
      <c r="D1013" s="18"/>
      <c r="E1013" s="19"/>
      <c r="F1013" s="19"/>
    </row>
    <row r="1014">
      <c r="B1014" s="26"/>
      <c r="D1014" s="18"/>
      <c r="E1014" s="19"/>
      <c r="F1014" s="19"/>
    </row>
    <row r="1015">
      <c r="B1015" s="26"/>
      <c r="D1015" s="18"/>
      <c r="E1015" s="19"/>
      <c r="F1015" s="19"/>
    </row>
    <row r="1016">
      <c r="B1016" s="26"/>
      <c r="D1016" s="18"/>
      <c r="E1016" s="19"/>
      <c r="F1016" s="19"/>
    </row>
    <row r="1017">
      <c r="B1017" s="26"/>
      <c r="D1017" s="18"/>
      <c r="E1017" s="19"/>
      <c r="F1017" s="19"/>
    </row>
    <row r="1018">
      <c r="B1018" s="26"/>
      <c r="D1018" s="18"/>
      <c r="E1018" s="19"/>
      <c r="F1018" s="19"/>
    </row>
    <row r="1019">
      <c r="B1019" s="26"/>
      <c r="D1019" s="18"/>
      <c r="E1019" s="19"/>
      <c r="F1019" s="19"/>
    </row>
    <row r="1020">
      <c r="B1020" s="26"/>
      <c r="D1020" s="18"/>
      <c r="E1020" s="19"/>
      <c r="F1020" s="19"/>
    </row>
    <row r="1021">
      <c r="B1021" s="26"/>
      <c r="D1021" s="18"/>
      <c r="E1021" s="19"/>
      <c r="F1021" s="19"/>
    </row>
    <row r="1022">
      <c r="B1022" s="26"/>
      <c r="D1022" s="18"/>
      <c r="E1022" s="19"/>
      <c r="F1022" s="19"/>
    </row>
    <row r="1023">
      <c r="B1023" s="26"/>
      <c r="D1023" s="18"/>
      <c r="E1023" s="19"/>
      <c r="F1023" s="19"/>
    </row>
    <row r="1024">
      <c r="B1024" s="26"/>
      <c r="D1024" s="18"/>
      <c r="E1024" s="19"/>
      <c r="F1024" s="19"/>
    </row>
    <row r="1025">
      <c r="B1025" s="26"/>
      <c r="D1025" s="18"/>
      <c r="E1025" s="19"/>
      <c r="F1025" s="19"/>
    </row>
    <row r="1026">
      <c r="B1026" s="26"/>
      <c r="D1026" s="18"/>
      <c r="E1026" s="19"/>
      <c r="F1026" s="19"/>
    </row>
    <row r="1027">
      <c r="B1027" s="26"/>
      <c r="D1027" s="18"/>
      <c r="E1027" s="19"/>
      <c r="F1027" s="19"/>
    </row>
    <row r="1028">
      <c r="B1028" s="26"/>
      <c r="D1028" s="18"/>
      <c r="E1028" s="19"/>
      <c r="F1028"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13.63"/>
    <col customWidth="1" min="3" max="3" width="28.63"/>
    <col customWidth="1" min="4" max="4" width="9.13"/>
    <col customWidth="1" min="5" max="5" width="6.5"/>
    <col customWidth="1" min="6" max="6" width="6.75"/>
    <col customWidth="1" min="7" max="7" width="126.13"/>
  </cols>
  <sheetData>
    <row r="1" ht="38.25" customHeight="1">
      <c r="A1" s="1">
        <f>SUM(A3:A74)</f>
        <v>885</v>
      </c>
      <c r="B1" s="2" t="s">
        <v>0</v>
      </c>
      <c r="C1" s="36">
        <f>SUM(F3:F100)</f>
        <v>127.452381</v>
      </c>
      <c r="D1" s="3"/>
      <c r="E1" s="4"/>
      <c r="F1" s="4"/>
      <c r="G1" s="5" t="s">
        <v>1</v>
      </c>
    </row>
    <row r="2">
      <c r="A2" s="43" t="s">
        <v>2</v>
      </c>
      <c r="B2" s="44" t="s">
        <v>3</v>
      </c>
      <c r="C2" s="45" t="s">
        <v>4</v>
      </c>
      <c r="D2" s="46" t="s">
        <v>233</v>
      </c>
      <c r="E2" s="45" t="s">
        <v>6</v>
      </c>
      <c r="F2" s="45" t="s">
        <v>234</v>
      </c>
      <c r="G2" s="47" t="s">
        <v>8</v>
      </c>
    </row>
    <row r="3">
      <c r="A3" s="11">
        <f t="shared" ref="A3:A17" si="1">E3*F3</f>
        <v>0</v>
      </c>
      <c r="B3" s="48"/>
      <c r="C3" s="49"/>
      <c r="D3" s="50"/>
      <c r="E3" s="30"/>
      <c r="F3" s="30"/>
      <c r="G3" s="28"/>
    </row>
    <row r="4">
      <c r="A4" s="11">
        <f t="shared" si="1"/>
        <v>3</v>
      </c>
      <c r="B4" s="51" t="s">
        <v>235</v>
      </c>
      <c r="C4" s="49" t="s">
        <v>29</v>
      </c>
      <c r="D4" s="50" t="s">
        <v>23</v>
      </c>
      <c r="E4" s="30">
        <v>3.0</v>
      </c>
      <c r="F4" s="30">
        <v>1.0</v>
      </c>
      <c r="G4" s="28" t="s">
        <v>236</v>
      </c>
    </row>
    <row r="5">
      <c r="A5" s="11">
        <f t="shared" si="1"/>
        <v>4</v>
      </c>
      <c r="B5" s="51" t="s">
        <v>237</v>
      </c>
      <c r="C5" s="49" t="s">
        <v>29</v>
      </c>
      <c r="D5" s="50" t="s">
        <v>23</v>
      </c>
      <c r="E5" s="30">
        <v>4.0</v>
      </c>
      <c r="F5" s="30">
        <v>1.0</v>
      </c>
      <c r="G5" s="28" t="s">
        <v>238</v>
      </c>
    </row>
    <row r="6">
      <c r="A6" s="11">
        <f t="shared" si="1"/>
        <v>5</v>
      </c>
      <c r="B6" s="51" t="s">
        <v>239</v>
      </c>
      <c r="C6" s="49" t="s">
        <v>240</v>
      </c>
      <c r="D6" s="50" t="s">
        <v>23</v>
      </c>
      <c r="E6" s="30">
        <v>5.0</v>
      </c>
      <c r="F6" s="30">
        <v>1.0</v>
      </c>
      <c r="G6" s="28" t="s">
        <v>241</v>
      </c>
    </row>
    <row r="7">
      <c r="A7" s="11">
        <f t="shared" si="1"/>
        <v>8</v>
      </c>
      <c r="B7" s="48">
        <v>44997.0</v>
      </c>
      <c r="C7" s="49" t="s">
        <v>29</v>
      </c>
      <c r="D7" s="50" t="s">
        <v>91</v>
      </c>
      <c r="E7" s="30">
        <v>8.0</v>
      </c>
      <c r="F7" s="30">
        <v>1.0</v>
      </c>
      <c r="G7" s="28" t="s">
        <v>242</v>
      </c>
    </row>
    <row r="8">
      <c r="A8" s="11">
        <f t="shared" si="1"/>
        <v>5</v>
      </c>
      <c r="B8" s="52">
        <v>44938.0</v>
      </c>
      <c r="C8" s="49" t="s">
        <v>243</v>
      </c>
      <c r="D8" s="50" t="s">
        <v>23</v>
      </c>
      <c r="E8" s="30">
        <v>5.0</v>
      </c>
      <c r="F8" s="30">
        <v>1.0</v>
      </c>
      <c r="G8" s="28" t="s">
        <v>244</v>
      </c>
    </row>
    <row r="9">
      <c r="A9" s="11">
        <f t="shared" si="1"/>
        <v>11</v>
      </c>
      <c r="B9" s="51" t="s">
        <v>245</v>
      </c>
      <c r="C9" s="49" t="s">
        <v>246</v>
      </c>
      <c r="D9" s="50" t="s">
        <v>247</v>
      </c>
      <c r="E9" s="30">
        <v>11.0</v>
      </c>
      <c r="F9" s="30">
        <v>1.0</v>
      </c>
      <c r="G9" s="28" t="s">
        <v>248</v>
      </c>
    </row>
    <row r="10">
      <c r="A10" s="11">
        <f t="shared" si="1"/>
        <v>5</v>
      </c>
      <c r="B10" s="51" t="s">
        <v>249</v>
      </c>
      <c r="C10" s="49" t="s">
        <v>250</v>
      </c>
      <c r="D10" s="50" t="s">
        <v>23</v>
      </c>
      <c r="E10" s="30">
        <v>5.0</v>
      </c>
      <c r="F10" s="30">
        <v>1.0</v>
      </c>
      <c r="G10" s="28" t="s">
        <v>251</v>
      </c>
    </row>
    <row r="11">
      <c r="A11" s="11">
        <f t="shared" si="1"/>
        <v>24</v>
      </c>
      <c r="B11" s="51" t="s">
        <v>252</v>
      </c>
      <c r="C11" s="49" t="s">
        <v>253</v>
      </c>
      <c r="D11" s="50" t="s">
        <v>254</v>
      </c>
      <c r="E11" s="30">
        <v>3.0</v>
      </c>
      <c r="F11" s="30">
        <v>8.0</v>
      </c>
      <c r="G11" s="28" t="s">
        <v>255</v>
      </c>
    </row>
    <row r="12">
      <c r="A12" s="11">
        <f t="shared" si="1"/>
        <v>2</v>
      </c>
      <c r="B12" s="51" t="s">
        <v>256</v>
      </c>
      <c r="C12" s="49" t="s">
        <v>26</v>
      </c>
      <c r="D12" s="50" t="s">
        <v>23</v>
      </c>
      <c r="E12" s="30">
        <v>2.0</v>
      </c>
      <c r="F12" s="30">
        <v>1.0</v>
      </c>
      <c r="G12" s="28" t="s">
        <v>257</v>
      </c>
    </row>
    <row r="13">
      <c r="A13" s="11">
        <f t="shared" si="1"/>
        <v>4</v>
      </c>
      <c r="B13" s="53">
        <v>45240.0</v>
      </c>
      <c r="C13" s="49" t="s">
        <v>26</v>
      </c>
      <c r="D13" s="50" t="s">
        <v>23</v>
      </c>
      <c r="E13" s="30">
        <v>4.0</v>
      </c>
      <c r="F13" s="30">
        <v>1.0</v>
      </c>
      <c r="G13" s="28" t="s">
        <v>258</v>
      </c>
    </row>
    <row r="14">
      <c r="A14" s="11">
        <f t="shared" si="1"/>
        <v>72</v>
      </c>
      <c r="B14" s="51" t="s">
        <v>259</v>
      </c>
      <c r="C14" s="49" t="s">
        <v>260</v>
      </c>
      <c r="D14" s="50" t="s">
        <v>261</v>
      </c>
      <c r="E14" s="30">
        <v>9.0</v>
      </c>
      <c r="F14" s="30">
        <v>8.0</v>
      </c>
      <c r="G14" s="28" t="s">
        <v>262</v>
      </c>
    </row>
    <row r="15">
      <c r="A15" s="11">
        <f t="shared" si="1"/>
        <v>126</v>
      </c>
      <c r="B15" s="51" t="s">
        <v>259</v>
      </c>
      <c r="C15" s="49" t="s">
        <v>263</v>
      </c>
      <c r="D15" s="50" t="s">
        <v>254</v>
      </c>
      <c r="E15" s="30">
        <v>21.0</v>
      </c>
      <c r="F15" s="30">
        <v>6.0</v>
      </c>
      <c r="G15" s="28" t="s">
        <v>264</v>
      </c>
    </row>
    <row r="16">
      <c r="A16" s="11">
        <f t="shared" si="1"/>
        <v>5</v>
      </c>
      <c r="B16" s="52">
        <v>44994.0</v>
      </c>
      <c r="C16" s="49" t="s">
        <v>140</v>
      </c>
      <c r="D16" s="50" t="s">
        <v>23</v>
      </c>
      <c r="E16" s="30">
        <v>5.0</v>
      </c>
      <c r="F16" s="30">
        <v>1.0</v>
      </c>
      <c r="G16" s="28" t="s">
        <v>265</v>
      </c>
    </row>
    <row r="17">
      <c r="A17" s="11">
        <f t="shared" si="1"/>
        <v>5</v>
      </c>
      <c r="B17" s="51" t="s">
        <v>266</v>
      </c>
      <c r="C17" s="49" t="s">
        <v>267</v>
      </c>
      <c r="D17" s="50" t="s">
        <v>23</v>
      </c>
      <c r="E17" s="30">
        <v>5.0</v>
      </c>
      <c r="F17" s="30">
        <v>1.0</v>
      </c>
      <c r="G17" s="28" t="s">
        <v>268</v>
      </c>
    </row>
    <row r="18">
      <c r="A18" s="11">
        <v>4.0</v>
      </c>
      <c r="B18" s="51" t="s">
        <v>269</v>
      </c>
      <c r="C18" s="49" t="s">
        <v>270</v>
      </c>
      <c r="D18" s="50" t="s">
        <v>192</v>
      </c>
      <c r="E18" s="30">
        <v>4.0</v>
      </c>
      <c r="F18" s="30">
        <v>1.0</v>
      </c>
      <c r="G18" s="28" t="s">
        <v>271</v>
      </c>
    </row>
    <row r="19">
      <c r="A19" s="11">
        <f t="shared" ref="A19:A30" si="2">E19*F19</f>
        <v>4</v>
      </c>
      <c r="B19" s="51" t="s">
        <v>272</v>
      </c>
      <c r="C19" s="49" t="s">
        <v>36</v>
      </c>
      <c r="D19" s="50" t="s">
        <v>273</v>
      </c>
      <c r="E19" s="30">
        <v>4.0</v>
      </c>
      <c r="F19" s="30">
        <v>1.0</v>
      </c>
      <c r="G19" s="28" t="s">
        <v>274</v>
      </c>
    </row>
    <row r="20">
      <c r="A20" s="11">
        <f t="shared" si="2"/>
        <v>2</v>
      </c>
      <c r="B20" s="51" t="s">
        <v>275</v>
      </c>
      <c r="C20" s="49" t="s">
        <v>276</v>
      </c>
      <c r="D20" s="50" t="s">
        <v>23</v>
      </c>
      <c r="E20" s="30">
        <v>2.0</v>
      </c>
      <c r="F20" s="30">
        <v>1.0</v>
      </c>
      <c r="G20" s="28" t="s">
        <v>277</v>
      </c>
    </row>
    <row r="21">
      <c r="A21" s="11">
        <f t="shared" si="2"/>
        <v>4</v>
      </c>
      <c r="B21" s="51" t="s">
        <v>278</v>
      </c>
      <c r="C21" s="49" t="s">
        <v>276</v>
      </c>
      <c r="D21" s="50" t="s">
        <v>279</v>
      </c>
      <c r="E21" s="30">
        <v>4.0</v>
      </c>
      <c r="F21" s="30">
        <v>1.0</v>
      </c>
      <c r="G21" s="28" t="s">
        <v>280</v>
      </c>
    </row>
    <row r="22">
      <c r="A22" s="11">
        <f t="shared" si="2"/>
        <v>88</v>
      </c>
      <c r="B22" s="52">
        <v>44933.0</v>
      </c>
      <c r="C22" s="49" t="s">
        <v>281</v>
      </c>
      <c r="D22" s="50" t="s">
        <v>247</v>
      </c>
      <c r="E22" s="30">
        <v>11.0</v>
      </c>
      <c r="F22" s="30">
        <v>8.0</v>
      </c>
      <c r="G22" s="28" t="s">
        <v>282</v>
      </c>
    </row>
    <row r="23">
      <c r="A23" s="11">
        <f t="shared" si="2"/>
        <v>112</v>
      </c>
      <c r="B23" s="51" t="s">
        <v>283</v>
      </c>
      <c r="C23" s="49" t="s">
        <v>284</v>
      </c>
      <c r="D23" s="50" t="s">
        <v>285</v>
      </c>
      <c r="E23" s="30">
        <v>14.0</v>
      </c>
      <c r="F23" s="30">
        <v>8.0</v>
      </c>
      <c r="G23" s="28" t="s">
        <v>282</v>
      </c>
    </row>
    <row r="24">
      <c r="A24" s="11">
        <f t="shared" si="2"/>
        <v>3</v>
      </c>
      <c r="B24" s="51" t="s">
        <v>286</v>
      </c>
      <c r="C24" s="49" t="s">
        <v>287</v>
      </c>
      <c r="D24" s="50" t="s">
        <v>23</v>
      </c>
      <c r="E24" s="30">
        <v>3.0</v>
      </c>
      <c r="F24" s="30">
        <v>1.0</v>
      </c>
      <c r="G24" s="28" t="s">
        <v>288</v>
      </c>
    </row>
    <row r="25">
      <c r="A25" s="11">
        <f t="shared" si="2"/>
        <v>6</v>
      </c>
      <c r="B25" s="52">
        <v>45236.0</v>
      </c>
      <c r="C25" s="49" t="s">
        <v>36</v>
      </c>
      <c r="D25" s="50" t="s">
        <v>23</v>
      </c>
      <c r="E25" s="30">
        <v>6.0</v>
      </c>
      <c r="F25" s="30">
        <v>1.0</v>
      </c>
      <c r="G25" s="28"/>
    </row>
    <row r="26">
      <c r="A26" s="11">
        <f t="shared" si="2"/>
        <v>3</v>
      </c>
      <c r="B26" s="52">
        <v>45083.0</v>
      </c>
      <c r="C26" s="49" t="s">
        <v>243</v>
      </c>
      <c r="D26" s="50" t="s">
        <v>23</v>
      </c>
      <c r="E26" s="30">
        <v>3.0</v>
      </c>
      <c r="F26" s="30">
        <v>1.0</v>
      </c>
      <c r="G26" s="28" t="s">
        <v>289</v>
      </c>
    </row>
    <row r="27">
      <c r="A27" s="11">
        <f t="shared" si="2"/>
        <v>3</v>
      </c>
      <c r="B27" s="52">
        <v>45052.0</v>
      </c>
      <c r="C27" s="49" t="s">
        <v>250</v>
      </c>
      <c r="D27" s="50" t="s">
        <v>23</v>
      </c>
      <c r="E27" s="30">
        <v>3.0</v>
      </c>
      <c r="F27" s="30">
        <v>1.0</v>
      </c>
      <c r="G27" s="28" t="s">
        <v>290</v>
      </c>
    </row>
    <row r="28">
      <c r="A28" s="11">
        <f t="shared" si="2"/>
        <v>4</v>
      </c>
      <c r="B28" s="52">
        <v>44991.0</v>
      </c>
      <c r="C28" s="49" t="s">
        <v>291</v>
      </c>
      <c r="D28" s="50" t="s">
        <v>292</v>
      </c>
      <c r="E28" s="30">
        <v>4.0</v>
      </c>
      <c r="F28" s="30">
        <v>1.0</v>
      </c>
      <c r="G28" s="28" t="s">
        <v>293</v>
      </c>
    </row>
    <row r="29">
      <c r="A29" s="11">
        <f t="shared" si="2"/>
        <v>88</v>
      </c>
      <c r="B29" s="52">
        <v>44963.0</v>
      </c>
      <c r="C29" s="49" t="s">
        <v>294</v>
      </c>
      <c r="D29" s="50" t="s">
        <v>285</v>
      </c>
      <c r="E29" s="30">
        <v>11.0</v>
      </c>
      <c r="F29" s="30">
        <v>8.0</v>
      </c>
      <c r="G29" s="28" t="s">
        <v>295</v>
      </c>
    </row>
    <row r="30">
      <c r="A30" s="11">
        <f t="shared" si="2"/>
        <v>9</v>
      </c>
      <c r="B30" s="51" t="s">
        <v>296</v>
      </c>
      <c r="C30" s="49" t="s">
        <v>140</v>
      </c>
      <c r="D30" s="50" t="s">
        <v>23</v>
      </c>
      <c r="E30" s="30">
        <v>9.0</v>
      </c>
      <c r="F30" s="30">
        <v>1.0</v>
      </c>
      <c r="G30" s="28" t="s">
        <v>297</v>
      </c>
    </row>
    <row r="31">
      <c r="A31" s="11">
        <v>1.0</v>
      </c>
      <c r="B31" s="51" t="s">
        <v>298</v>
      </c>
      <c r="C31" s="49" t="s">
        <v>299</v>
      </c>
      <c r="D31" s="50" t="s">
        <v>91</v>
      </c>
      <c r="E31" s="30">
        <v>1.0</v>
      </c>
      <c r="F31" s="30">
        <v>1.0</v>
      </c>
      <c r="G31" s="28" t="s">
        <v>300</v>
      </c>
    </row>
    <row r="32">
      <c r="A32" s="11">
        <v>3.0</v>
      </c>
      <c r="B32" s="51" t="s">
        <v>301</v>
      </c>
      <c r="C32" s="49" t="s">
        <v>302</v>
      </c>
      <c r="D32" s="50" t="s">
        <v>91</v>
      </c>
      <c r="E32" s="30">
        <v>3.0</v>
      </c>
      <c r="F32" s="30">
        <v>1.0</v>
      </c>
      <c r="G32" s="28" t="s">
        <v>303</v>
      </c>
    </row>
    <row r="33">
      <c r="A33" s="11">
        <f t="shared" ref="A33:A51" si="3">E33*F33</f>
        <v>3</v>
      </c>
      <c r="B33" s="51" t="s">
        <v>304</v>
      </c>
      <c r="C33" s="49" t="s">
        <v>243</v>
      </c>
      <c r="D33" s="50" t="s">
        <v>23</v>
      </c>
      <c r="E33" s="30">
        <v>3.0</v>
      </c>
      <c r="F33" s="30">
        <v>1.0</v>
      </c>
      <c r="G33" s="28" t="s">
        <v>305</v>
      </c>
    </row>
    <row r="34">
      <c r="A34" s="11">
        <f t="shared" si="3"/>
        <v>96</v>
      </c>
      <c r="B34" s="51" t="s">
        <v>306</v>
      </c>
      <c r="C34" s="49" t="s">
        <v>198</v>
      </c>
      <c r="D34" s="50" t="s">
        <v>254</v>
      </c>
      <c r="E34" s="30">
        <v>12.0</v>
      </c>
      <c r="F34" s="30">
        <v>8.0</v>
      </c>
      <c r="G34" s="28" t="s">
        <v>307</v>
      </c>
    </row>
    <row r="35">
      <c r="A35" s="11">
        <f t="shared" si="3"/>
        <v>6</v>
      </c>
      <c r="B35" s="51" t="s">
        <v>308</v>
      </c>
      <c r="C35" s="49" t="s">
        <v>309</v>
      </c>
      <c r="D35" s="50" t="s">
        <v>42</v>
      </c>
      <c r="E35" s="30">
        <v>6.0</v>
      </c>
      <c r="F35" s="30">
        <v>1.0</v>
      </c>
      <c r="G35" s="28" t="s">
        <v>310</v>
      </c>
    </row>
    <row r="36">
      <c r="A36" s="11">
        <f t="shared" si="3"/>
        <v>6</v>
      </c>
      <c r="B36" s="52">
        <v>45112.0</v>
      </c>
      <c r="C36" s="49" t="s">
        <v>36</v>
      </c>
      <c r="D36" s="50" t="s">
        <v>23</v>
      </c>
      <c r="E36" s="30">
        <v>6.0</v>
      </c>
      <c r="F36" s="30">
        <v>1.0</v>
      </c>
      <c r="G36" s="28" t="s">
        <v>311</v>
      </c>
    </row>
    <row r="37">
      <c r="A37" s="11">
        <f t="shared" si="3"/>
        <v>9</v>
      </c>
      <c r="B37" s="52">
        <v>44990.0</v>
      </c>
      <c r="C37" s="49" t="s">
        <v>287</v>
      </c>
      <c r="D37" s="50" t="s">
        <v>23</v>
      </c>
      <c r="E37" s="30">
        <v>9.0</v>
      </c>
      <c r="F37" s="30">
        <v>1.0</v>
      </c>
      <c r="G37" s="28" t="s">
        <v>312</v>
      </c>
    </row>
    <row r="38">
      <c r="A38" s="11">
        <f t="shared" si="3"/>
        <v>3</v>
      </c>
      <c r="B38" s="51" t="s">
        <v>313</v>
      </c>
      <c r="C38" s="49" t="s">
        <v>151</v>
      </c>
      <c r="D38" s="50" t="s">
        <v>23</v>
      </c>
      <c r="E38" s="30">
        <v>3.0</v>
      </c>
      <c r="F38" s="30">
        <v>1.0</v>
      </c>
      <c r="G38" s="28" t="s">
        <v>314</v>
      </c>
    </row>
    <row r="39">
      <c r="A39" s="11">
        <f t="shared" si="3"/>
        <v>3</v>
      </c>
      <c r="B39" s="51" t="s">
        <v>315</v>
      </c>
      <c r="C39" s="49" t="s">
        <v>287</v>
      </c>
      <c r="D39" s="50" t="s">
        <v>23</v>
      </c>
      <c r="E39" s="30">
        <v>3.0</v>
      </c>
      <c r="F39" s="30">
        <v>1.0</v>
      </c>
      <c r="G39" s="28" t="s">
        <v>316</v>
      </c>
    </row>
    <row r="40">
      <c r="A40" s="11">
        <f t="shared" si="3"/>
        <v>4</v>
      </c>
      <c r="B40" s="51" t="s">
        <v>317</v>
      </c>
      <c r="C40" s="49" t="s">
        <v>318</v>
      </c>
      <c r="D40" s="50" t="s">
        <v>42</v>
      </c>
      <c r="E40" s="30">
        <v>4.0</v>
      </c>
      <c r="F40" s="30">
        <v>1.0</v>
      </c>
      <c r="G40" s="28" t="s">
        <v>319</v>
      </c>
    </row>
    <row r="41">
      <c r="A41" s="11">
        <f t="shared" si="3"/>
        <v>2</v>
      </c>
      <c r="B41" s="51" t="s">
        <v>320</v>
      </c>
      <c r="C41" s="49" t="s">
        <v>26</v>
      </c>
      <c r="D41" s="50" t="s">
        <v>23</v>
      </c>
      <c r="E41" s="30">
        <v>2.0</v>
      </c>
      <c r="F41" s="30">
        <v>1.0</v>
      </c>
      <c r="G41" s="28" t="s">
        <v>321</v>
      </c>
    </row>
    <row r="42">
      <c r="A42" s="11">
        <f t="shared" si="3"/>
        <v>5</v>
      </c>
      <c r="B42" s="51" t="s">
        <v>322</v>
      </c>
      <c r="C42" s="49" t="s">
        <v>323</v>
      </c>
      <c r="D42" s="50" t="s">
        <v>23</v>
      </c>
      <c r="E42" s="30">
        <v>5.0</v>
      </c>
      <c r="F42" s="30">
        <v>1.0</v>
      </c>
      <c r="G42" s="28" t="s">
        <v>324</v>
      </c>
    </row>
    <row r="43">
      <c r="A43" s="11">
        <f t="shared" si="3"/>
        <v>5</v>
      </c>
      <c r="B43" s="51" t="s">
        <v>325</v>
      </c>
      <c r="C43" s="49" t="s">
        <v>318</v>
      </c>
      <c r="D43" s="50" t="s">
        <v>87</v>
      </c>
      <c r="E43" s="30">
        <v>5.0</v>
      </c>
      <c r="F43" s="30">
        <v>1.0</v>
      </c>
      <c r="G43" s="28" t="s">
        <v>326</v>
      </c>
    </row>
    <row r="44">
      <c r="A44" s="11">
        <f t="shared" si="3"/>
        <v>16</v>
      </c>
      <c r="B44" s="51" t="s">
        <v>327</v>
      </c>
      <c r="C44" s="49" t="s">
        <v>253</v>
      </c>
      <c r="D44" s="50" t="s">
        <v>254</v>
      </c>
      <c r="E44" s="30">
        <v>2.0</v>
      </c>
      <c r="F44" s="30">
        <v>8.0</v>
      </c>
      <c r="G44" s="28" t="s">
        <v>328</v>
      </c>
    </row>
    <row r="45">
      <c r="A45" s="11">
        <f t="shared" si="3"/>
        <v>32</v>
      </c>
      <c r="B45" s="51" t="s">
        <v>329</v>
      </c>
      <c r="C45" s="49" t="s">
        <v>253</v>
      </c>
      <c r="D45" s="50" t="s">
        <v>254</v>
      </c>
      <c r="E45" s="30">
        <v>4.0</v>
      </c>
      <c r="F45" s="30">
        <v>8.0</v>
      </c>
      <c r="G45" s="28" t="s">
        <v>330</v>
      </c>
    </row>
    <row r="46">
      <c r="A46" s="11">
        <f t="shared" si="3"/>
        <v>5</v>
      </c>
      <c r="B46" s="48">
        <v>45080.0</v>
      </c>
      <c r="C46" s="49" t="s">
        <v>331</v>
      </c>
      <c r="D46" s="50" t="s">
        <v>23</v>
      </c>
      <c r="E46" s="30">
        <v>5.0</v>
      </c>
      <c r="F46" s="30">
        <v>1.0</v>
      </c>
      <c r="G46" s="28" t="s">
        <v>332</v>
      </c>
    </row>
    <row r="47">
      <c r="A47" s="11">
        <f t="shared" si="3"/>
        <v>2</v>
      </c>
      <c r="B47" s="53">
        <v>45019.0</v>
      </c>
      <c r="C47" s="49" t="s">
        <v>243</v>
      </c>
      <c r="D47" s="50" t="s">
        <v>23</v>
      </c>
      <c r="E47" s="30">
        <v>2.0</v>
      </c>
      <c r="F47" s="30">
        <v>1.0</v>
      </c>
      <c r="G47" s="28" t="s">
        <v>333</v>
      </c>
    </row>
    <row r="48">
      <c r="A48" s="11">
        <f t="shared" si="3"/>
        <v>9</v>
      </c>
      <c r="B48" s="52">
        <v>45019.0</v>
      </c>
      <c r="C48" s="49" t="s">
        <v>111</v>
      </c>
      <c r="D48" s="50" t="s">
        <v>23</v>
      </c>
      <c r="E48" s="30">
        <v>9.0</v>
      </c>
      <c r="F48" s="30">
        <v>1.0</v>
      </c>
      <c r="G48" s="28" t="s">
        <v>334</v>
      </c>
    </row>
    <row r="49">
      <c r="A49" s="11">
        <f t="shared" si="3"/>
        <v>32</v>
      </c>
      <c r="B49" s="51" t="s">
        <v>335</v>
      </c>
      <c r="C49" s="49" t="s">
        <v>336</v>
      </c>
      <c r="D49" s="50" t="s">
        <v>254</v>
      </c>
      <c r="E49" s="30">
        <v>4.0</v>
      </c>
      <c r="F49" s="30">
        <v>8.0</v>
      </c>
      <c r="G49" s="28" t="s">
        <v>337</v>
      </c>
    </row>
    <row r="50">
      <c r="A50" s="11">
        <f t="shared" si="3"/>
        <v>2</v>
      </c>
      <c r="B50" s="51" t="s">
        <v>338</v>
      </c>
      <c r="C50" s="49" t="s">
        <v>111</v>
      </c>
      <c r="D50" s="50" t="s">
        <v>23</v>
      </c>
      <c r="E50" s="30">
        <v>2.0</v>
      </c>
      <c r="F50" s="30">
        <v>1.0</v>
      </c>
      <c r="G50" s="28" t="s">
        <v>339</v>
      </c>
    </row>
    <row r="51">
      <c r="A51" s="11">
        <f t="shared" si="3"/>
        <v>11</v>
      </c>
      <c r="B51" s="51" t="s">
        <v>340</v>
      </c>
      <c r="C51" s="49" t="s">
        <v>36</v>
      </c>
      <c r="D51" s="50" t="s">
        <v>42</v>
      </c>
      <c r="E51" s="30">
        <v>11.0</v>
      </c>
      <c r="F51" s="30">
        <v>1.0</v>
      </c>
      <c r="G51" s="28" t="s">
        <v>341</v>
      </c>
    </row>
    <row r="52">
      <c r="A52" s="11">
        <v>4.0</v>
      </c>
      <c r="B52" s="51" t="s">
        <v>342</v>
      </c>
      <c r="C52" s="49" t="s">
        <v>323</v>
      </c>
      <c r="D52" s="50" t="s">
        <v>87</v>
      </c>
      <c r="E52" s="30">
        <v>4.0</v>
      </c>
      <c r="F52" s="30">
        <v>1.0</v>
      </c>
      <c r="G52" s="28" t="s">
        <v>343</v>
      </c>
    </row>
    <row r="53">
      <c r="A53" s="11">
        <f t="shared" ref="A53:A58" si="4">E53*F53</f>
        <v>3</v>
      </c>
      <c r="B53" s="54">
        <v>45079.0</v>
      </c>
      <c r="C53" s="49" t="s">
        <v>243</v>
      </c>
      <c r="D53" s="50" t="s">
        <v>23</v>
      </c>
      <c r="E53" s="30">
        <v>3.0</v>
      </c>
      <c r="F53" s="30">
        <v>1.0</v>
      </c>
      <c r="G53" s="28" t="s">
        <v>344</v>
      </c>
    </row>
    <row r="54">
      <c r="A54" s="11">
        <f t="shared" si="4"/>
        <v>3</v>
      </c>
      <c r="B54" s="54">
        <v>44987.0</v>
      </c>
      <c r="C54" s="49" t="s">
        <v>276</v>
      </c>
      <c r="D54" s="50" t="s">
        <v>23</v>
      </c>
      <c r="E54" s="30">
        <v>3.0</v>
      </c>
      <c r="F54" s="30">
        <v>1.0</v>
      </c>
      <c r="G54" s="28" t="s">
        <v>345</v>
      </c>
    </row>
    <row r="55">
      <c r="A55" s="11">
        <f t="shared" si="4"/>
        <v>2</v>
      </c>
      <c r="B55" s="51" t="s">
        <v>346</v>
      </c>
      <c r="C55" s="49" t="s">
        <v>276</v>
      </c>
      <c r="D55" s="50" t="s">
        <v>23</v>
      </c>
      <c r="E55" s="30">
        <v>2.0</v>
      </c>
      <c r="F55" s="30">
        <v>1.0</v>
      </c>
      <c r="G55" s="28" t="s">
        <v>347</v>
      </c>
    </row>
    <row r="56">
      <c r="A56" s="11">
        <f t="shared" si="4"/>
        <v>3</v>
      </c>
      <c r="B56" s="51" t="s">
        <v>348</v>
      </c>
      <c r="C56" s="49" t="s">
        <v>243</v>
      </c>
      <c r="D56" s="50" t="s">
        <v>23</v>
      </c>
      <c r="E56" s="30">
        <v>3.0</v>
      </c>
      <c r="F56" s="30">
        <v>1.0</v>
      </c>
      <c r="G56" s="28" t="s">
        <v>349</v>
      </c>
    </row>
    <row r="57">
      <c r="A57" s="11">
        <f t="shared" si="4"/>
        <v>4</v>
      </c>
      <c r="B57" s="51" t="s">
        <v>350</v>
      </c>
      <c r="C57" s="49" t="s">
        <v>111</v>
      </c>
      <c r="D57" s="50" t="s">
        <v>23</v>
      </c>
      <c r="E57" s="30">
        <v>4.0</v>
      </c>
      <c r="F57" s="30">
        <v>1.0</v>
      </c>
      <c r="G57" s="28" t="s">
        <v>351</v>
      </c>
    </row>
    <row r="58">
      <c r="A58" s="11">
        <f t="shared" si="4"/>
        <v>2</v>
      </c>
      <c r="B58" s="54">
        <v>44986.0</v>
      </c>
      <c r="C58" s="49" t="s">
        <v>166</v>
      </c>
      <c r="D58" s="50" t="s">
        <v>23</v>
      </c>
      <c r="E58" s="30">
        <v>2.0</v>
      </c>
      <c r="F58" s="30">
        <v>1.0</v>
      </c>
      <c r="G58" s="28" t="s">
        <v>352</v>
      </c>
    </row>
    <row r="59">
      <c r="B59" s="17"/>
      <c r="D59" s="18"/>
      <c r="E59" s="19"/>
      <c r="F59" s="19"/>
    </row>
    <row r="60">
      <c r="B60" s="17"/>
      <c r="D60" s="18"/>
      <c r="E60" s="19"/>
      <c r="F60" s="19"/>
    </row>
    <row r="61">
      <c r="B61" s="17"/>
      <c r="D61" s="18"/>
      <c r="E61" s="19"/>
      <c r="F61" s="19"/>
    </row>
    <row r="62">
      <c r="B62" s="17"/>
      <c r="D62" s="18"/>
      <c r="E62" s="19"/>
      <c r="F62" s="19"/>
    </row>
    <row r="63">
      <c r="B63" s="17"/>
      <c r="D63" s="18"/>
      <c r="E63" s="19"/>
      <c r="F63" s="19"/>
    </row>
    <row r="64">
      <c r="B64" s="17"/>
      <c r="D64" s="18"/>
      <c r="E64" s="19"/>
      <c r="F64" s="19"/>
    </row>
    <row r="65">
      <c r="B65" s="17"/>
      <c r="D65" s="18"/>
      <c r="E65" s="19"/>
      <c r="F65" s="19"/>
    </row>
    <row r="66">
      <c r="B66" s="17"/>
      <c r="D66" s="18"/>
      <c r="E66" s="19"/>
      <c r="F66" s="19"/>
    </row>
    <row r="67">
      <c r="B67" s="17"/>
      <c r="D67" s="18"/>
      <c r="E67" s="19"/>
      <c r="F67" s="19"/>
    </row>
    <row r="68">
      <c r="B68" s="17"/>
      <c r="D68" s="18"/>
      <c r="E68" s="19"/>
      <c r="F68" s="19"/>
    </row>
    <row r="69">
      <c r="B69" s="17"/>
      <c r="D69" s="18"/>
      <c r="E69" s="19"/>
      <c r="F69" s="19"/>
    </row>
    <row r="70">
      <c r="B70" s="17"/>
      <c r="D70" s="18"/>
      <c r="E70" s="19"/>
      <c r="F70" s="19"/>
    </row>
    <row r="71">
      <c r="B71" s="17"/>
      <c r="D71" s="18"/>
      <c r="E71" s="19"/>
      <c r="F71" s="19"/>
    </row>
    <row r="72">
      <c r="B72" s="17"/>
      <c r="D72" s="18"/>
      <c r="E72" s="19"/>
      <c r="F72" s="19"/>
    </row>
    <row r="73">
      <c r="B73" s="17"/>
      <c r="D73" s="18"/>
      <c r="E73" s="19"/>
      <c r="F73" s="19"/>
    </row>
    <row r="74">
      <c r="B74" s="17"/>
      <c r="D74" s="18"/>
      <c r="E74" s="19"/>
      <c r="F74" s="19"/>
    </row>
    <row r="75">
      <c r="B75" s="21"/>
      <c r="D75" s="18"/>
      <c r="E75" s="19"/>
      <c r="F75" s="19"/>
    </row>
    <row r="76">
      <c r="A76">
        <f>A58+A57+A56+A55+A54+A53+A52+A51+A48+A47+A46+A43+A42+A41+A40+A39+A38+A37+A36+A35+A33+A32+A31+A30+A28+A27+A26+A25+A24+A21+A19+A20+A18+A17+A16+A13+A12+A10+A9+A8+A7+A50</f>
        <v>187</v>
      </c>
      <c r="B76" s="22" t="s">
        <v>232</v>
      </c>
      <c r="D76" s="18"/>
      <c r="E76" s="19"/>
      <c r="F76" s="19"/>
    </row>
    <row r="77">
      <c r="A77">
        <f>A49+A45+A44+A34+A29+A23+A15+A14+A11+A22</f>
        <v>686</v>
      </c>
      <c r="B77" s="22" t="s">
        <v>231</v>
      </c>
      <c r="D77" s="18"/>
      <c r="E77" s="19"/>
      <c r="F77" s="19"/>
    </row>
    <row r="78">
      <c r="A78" s="37">
        <v>26.0</v>
      </c>
      <c r="B78" s="22" t="s">
        <v>353</v>
      </c>
      <c r="D78" s="18"/>
      <c r="E78" s="19"/>
      <c r="F78" s="19"/>
    </row>
    <row r="79">
      <c r="B79" s="17"/>
      <c r="C79" s="37" t="s">
        <v>354</v>
      </c>
      <c r="D79" s="18">
        <f>F58+F57+F56+F55+F54+F53+F52+F51+F50+F48+F47+F46+F43+F42+F41+F40+F39+F38+F37+F36+F35+F33+F32+F31+F30+F28+F27+F26+F25+F24+F21+F20+F19+F18+F17+F16+F13+F12+F10+F9+F8+F7</f>
        <v>42</v>
      </c>
      <c r="E79" s="19"/>
      <c r="F79" s="23">
        <f>A76/D79</f>
        <v>4.452380952</v>
      </c>
    </row>
    <row r="80">
      <c r="A80">
        <f>SUM(A76:A78)</f>
        <v>899</v>
      </c>
      <c r="B80" s="17"/>
      <c r="D80" s="18"/>
      <c r="E80" s="19"/>
      <c r="F80" s="19"/>
    </row>
    <row r="81">
      <c r="B81" s="17"/>
      <c r="C81" s="37" t="s">
        <v>355</v>
      </c>
      <c r="D81" s="24">
        <v>4.0</v>
      </c>
      <c r="E81" s="19"/>
      <c r="F81" s="22" t="s">
        <v>356</v>
      </c>
      <c r="G81" s="25">
        <v>3.0</v>
      </c>
    </row>
    <row r="82">
      <c r="B82" s="17"/>
      <c r="C82" s="37" t="s">
        <v>357</v>
      </c>
      <c r="D82" s="24">
        <v>5.0</v>
      </c>
      <c r="E82" s="19"/>
      <c r="F82" s="22" t="s">
        <v>358</v>
      </c>
      <c r="G82" s="25">
        <v>5.0</v>
      </c>
    </row>
    <row r="83">
      <c r="B83" s="17"/>
      <c r="C83" s="37" t="s">
        <v>359</v>
      </c>
      <c r="D83" s="24">
        <v>7.0</v>
      </c>
      <c r="E83" s="19"/>
      <c r="F83" s="22" t="s">
        <v>360</v>
      </c>
      <c r="G83" s="25">
        <v>9.0</v>
      </c>
    </row>
    <row r="84">
      <c r="B84" s="17"/>
      <c r="C84" s="37" t="s">
        <v>361</v>
      </c>
      <c r="D84" s="24">
        <v>2.0</v>
      </c>
      <c r="E84" s="19"/>
      <c r="F84" s="22" t="s">
        <v>362</v>
      </c>
      <c r="G84" s="25">
        <v>7.0</v>
      </c>
    </row>
    <row r="85">
      <c r="B85" s="17"/>
      <c r="C85" s="37" t="s">
        <v>363</v>
      </c>
      <c r="D85" s="24">
        <v>7.0</v>
      </c>
      <c r="E85" s="19"/>
      <c r="F85" s="22" t="s">
        <v>364</v>
      </c>
      <c r="G85" s="25">
        <v>6.0</v>
      </c>
    </row>
    <row r="86">
      <c r="B86" s="17"/>
      <c r="C86" s="37" t="s">
        <v>365</v>
      </c>
      <c r="D86" s="24">
        <v>5.0</v>
      </c>
      <c r="E86" s="19"/>
      <c r="F86" s="22" t="s">
        <v>366</v>
      </c>
      <c r="G86" s="25">
        <v>4.0</v>
      </c>
    </row>
    <row r="87">
      <c r="B87" s="17"/>
      <c r="C87" s="37" t="s">
        <v>367</v>
      </c>
      <c r="D87" s="24">
        <v>4.0</v>
      </c>
      <c r="E87" s="19"/>
      <c r="F87" s="22" t="s">
        <v>368</v>
      </c>
      <c r="G87" s="25">
        <v>6.0</v>
      </c>
    </row>
    <row r="88">
      <c r="B88" s="17"/>
      <c r="C88" s="37" t="s">
        <v>369</v>
      </c>
      <c r="D88" s="24">
        <v>1.0</v>
      </c>
      <c r="E88" s="19"/>
      <c r="F88" s="22" t="s">
        <v>370</v>
      </c>
      <c r="G88" s="25">
        <v>5.0</v>
      </c>
    </row>
    <row r="89">
      <c r="B89" s="17"/>
      <c r="C89" s="37" t="s">
        <v>371</v>
      </c>
      <c r="D89" s="24">
        <v>1.0</v>
      </c>
      <c r="E89" s="19"/>
      <c r="F89" s="22" t="s">
        <v>372</v>
      </c>
      <c r="G89" s="25">
        <v>4.0</v>
      </c>
    </row>
    <row r="90">
      <c r="B90" s="17"/>
      <c r="C90" s="37" t="s">
        <v>373</v>
      </c>
      <c r="D90" s="24">
        <v>2.0</v>
      </c>
      <c r="E90" s="19"/>
      <c r="F90" s="22" t="s">
        <v>374</v>
      </c>
      <c r="G90" s="25">
        <v>7.0</v>
      </c>
    </row>
    <row r="91">
      <c r="B91" s="17"/>
      <c r="C91" s="37" t="s">
        <v>375</v>
      </c>
      <c r="D91" s="24">
        <v>2.0</v>
      </c>
      <c r="E91" s="19"/>
      <c r="F91" s="22" t="s">
        <v>376</v>
      </c>
      <c r="G91" s="25">
        <v>3.0</v>
      </c>
    </row>
    <row r="92">
      <c r="B92" s="17"/>
      <c r="C92" s="37" t="s">
        <v>377</v>
      </c>
      <c r="D92" s="24">
        <v>2.0</v>
      </c>
      <c r="E92" s="19"/>
      <c r="F92" s="22" t="s">
        <v>378</v>
      </c>
      <c r="G92" s="25">
        <v>3.0</v>
      </c>
    </row>
    <row r="93">
      <c r="B93" s="17"/>
      <c r="D93" s="18"/>
      <c r="E93" s="19"/>
      <c r="F93" s="19"/>
    </row>
    <row r="94">
      <c r="B94" s="26"/>
      <c r="D94" s="18">
        <f>SUM(D81:D92)</f>
        <v>42</v>
      </c>
      <c r="E94" s="19"/>
      <c r="G94" s="27">
        <f>SUM(G81:G92)</f>
        <v>62</v>
      </c>
    </row>
    <row r="95">
      <c r="B95" s="26"/>
      <c r="D95" s="18"/>
      <c r="E95" s="19"/>
      <c r="F95" s="19"/>
    </row>
    <row r="96">
      <c r="B96" s="26"/>
      <c r="D96" s="18"/>
      <c r="E96" s="19"/>
      <c r="F96" s="19"/>
    </row>
    <row r="97">
      <c r="B97" s="26"/>
      <c r="D97" s="18"/>
      <c r="E97" s="19"/>
      <c r="F97" s="19"/>
    </row>
    <row r="98">
      <c r="B98" s="26"/>
      <c r="D98" s="18"/>
      <c r="E98" s="19"/>
      <c r="F98" s="19"/>
    </row>
    <row r="99">
      <c r="B99" s="26"/>
      <c r="D99" s="18"/>
      <c r="E99" s="19"/>
      <c r="F99" s="19"/>
    </row>
    <row r="100">
      <c r="B100" s="26"/>
      <c r="D100" s="18"/>
      <c r="E100" s="19"/>
      <c r="F100" s="19"/>
    </row>
    <row r="101">
      <c r="B101" s="26"/>
      <c r="D101" s="18"/>
      <c r="E101" s="19"/>
      <c r="F101" s="19"/>
    </row>
    <row r="102">
      <c r="B102" s="26"/>
      <c r="D102" s="18"/>
      <c r="E102" s="19"/>
      <c r="F102" s="19"/>
    </row>
    <row r="103">
      <c r="B103" s="26"/>
      <c r="D103" s="18"/>
      <c r="E103" s="19"/>
      <c r="F103" s="19"/>
    </row>
    <row r="104">
      <c r="B104" s="26"/>
      <c r="D104" s="18"/>
      <c r="E104" s="19"/>
      <c r="F104" s="19"/>
    </row>
    <row r="105">
      <c r="B105" s="26"/>
      <c r="D105" s="18"/>
      <c r="E105" s="19"/>
      <c r="F105" s="19"/>
    </row>
    <row r="106">
      <c r="B106" s="26"/>
      <c r="D106" s="18"/>
      <c r="E106" s="19"/>
      <c r="F106" s="19"/>
    </row>
    <row r="107">
      <c r="B107" s="26"/>
      <c r="D107" s="18"/>
      <c r="E107" s="19"/>
      <c r="F107" s="19"/>
    </row>
    <row r="108">
      <c r="B108" s="26"/>
      <c r="D108" s="18"/>
      <c r="E108" s="19"/>
      <c r="F108" s="19"/>
    </row>
    <row r="109">
      <c r="B109" s="26"/>
      <c r="D109" s="18"/>
      <c r="E109" s="19"/>
      <c r="F109" s="19"/>
    </row>
    <row r="110">
      <c r="B110" s="26"/>
      <c r="D110" s="18"/>
      <c r="E110" s="19"/>
      <c r="F110" s="19"/>
    </row>
    <row r="111">
      <c r="B111" s="26"/>
      <c r="D111" s="18"/>
      <c r="E111" s="19"/>
      <c r="F111" s="19"/>
    </row>
    <row r="112">
      <c r="B112" s="26"/>
      <c r="D112" s="18"/>
      <c r="E112" s="19"/>
      <c r="F112" s="19"/>
    </row>
    <row r="113">
      <c r="B113" s="26"/>
      <c r="D113" s="18"/>
      <c r="E113" s="19"/>
      <c r="F113" s="19"/>
    </row>
    <row r="114">
      <c r="B114" s="26"/>
      <c r="D114" s="18"/>
      <c r="E114" s="19"/>
      <c r="F114" s="19"/>
    </row>
    <row r="115">
      <c r="B115" s="26"/>
      <c r="D115" s="18"/>
      <c r="E115" s="19"/>
      <c r="F115" s="19"/>
    </row>
    <row r="116">
      <c r="B116" s="26"/>
      <c r="D116" s="18"/>
      <c r="E116" s="19"/>
      <c r="F116" s="19"/>
    </row>
    <row r="117">
      <c r="B117" s="26"/>
      <c r="D117" s="18"/>
      <c r="E117" s="19"/>
      <c r="F117" s="19"/>
    </row>
    <row r="118">
      <c r="B118" s="26"/>
      <c r="D118" s="18"/>
      <c r="E118" s="19"/>
      <c r="F118" s="19"/>
    </row>
    <row r="119">
      <c r="B119" s="26"/>
      <c r="D119" s="18"/>
      <c r="E119" s="19"/>
      <c r="F119" s="19"/>
    </row>
    <row r="120">
      <c r="B120" s="26"/>
      <c r="D120" s="18"/>
      <c r="E120" s="19"/>
      <c r="F120" s="19"/>
    </row>
    <row r="121">
      <c r="B121" s="26"/>
      <c r="D121" s="18"/>
      <c r="E121" s="19"/>
      <c r="F121" s="19"/>
    </row>
    <row r="122">
      <c r="B122" s="26"/>
      <c r="D122" s="18"/>
      <c r="E122" s="19"/>
      <c r="F122" s="19"/>
    </row>
    <row r="123">
      <c r="B123" s="26"/>
      <c r="D123" s="18"/>
      <c r="E123" s="19"/>
      <c r="F123" s="19"/>
    </row>
    <row r="124">
      <c r="B124" s="26"/>
      <c r="D124" s="18"/>
      <c r="E124" s="19"/>
      <c r="F124" s="19"/>
    </row>
    <row r="125">
      <c r="B125" s="26"/>
      <c r="D125" s="18"/>
      <c r="E125" s="19"/>
      <c r="F125" s="19"/>
    </row>
    <row r="126">
      <c r="B126" s="26"/>
      <c r="D126" s="18"/>
      <c r="E126" s="19"/>
      <c r="F126" s="19"/>
    </row>
    <row r="127">
      <c r="B127" s="26"/>
      <c r="D127" s="18"/>
      <c r="E127" s="19"/>
      <c r="F127" s="19"/>
    </row>
    <row r="128">
      <c r="B128" s="26"/>
      <c r="D128" s="18"/>
      <c r="E128" s="19"/>
      <c r="F128" s="19"/>
    </row>
    <row r="129">
      <c r="B129" s="26"/>
      <c r="D129" s="18"/>
      <c r="E129" s="19"/>
      <c r="F129" s="19"/>
    </row>
    <row r="130">
      <c r="B130" s="26"/>
      <c r="D130" s="18"/>
      <c r="E130" s="19"/>
      <c r="F130" s="19"/>
    </row>
    <row r="131">
      <c r="B131" s="26"/>
      <c r="D131" s="18"/>
      <c r="E131" s="19"/>
      <c r="F131" s="19"/>
    </row>
    <row r="132">
      <c r="B132" s="26"/>
      <c r="D132" s="18"/>
      <c r="E132" s="19"/>
      <c r="F132" s="19"/>
    </row>
    <row r="133">
      <c r="B133" s="26"/>
      <c r="D133" s="18"/>
      <c r="E133" s="19"/>
      <c r="F133" s="19"/>
    </row>
    <row r="134">
      <c r="B134" s="26"/>
      <c r="D134" s="18"/>
      <c r="E134" s="19"/>
      <c r="F134" s="19"/>
    </row>
    <row r="135">
      <c r="B135" s="26"/>
      <c r="D135" s="18"/>
      <c r="E135" s="19"/>
      <c r="F135" s="19"/>
    </row>
    <row r="136">
      <c r="B136" s="26"/>
      <c r="D136" s="18"/>
      <c r="E136" s="19"/>
      <c r="F136" s="19"/>
    </row>
    <row r="137">
      <c r="B137" s="26"/>
      <c r="D137" s="18"/>
      <c r="E137" s="19"/>
      <c r="F137" s="19"/>
    </row>
    <row r="138">
      <c r="B138" s="26"/>
      <c r="D138" s="18"/>
      <c r="E138" s="19"/>
      <c r="F138" s="19"/>
    </row>
    <row r="139">
      <c r="B139" s="26"/>
      <c r="D139" s="18"/>
      <c r="E139" s="19"/>
      <c r="F139" s="19"/>
    </row>
    <row r="140">
      <c r="B140" s="26"/>
      <c r="D140" s="18"/>
      <c r="E140" s="19"/>
      <c r="F140" s="19"/>
    </row>
    <row r="141">
      <c r="B141" s="26"/>
      <c r="D141" s="18"/>
      <c r="E141" s="19"/>
      <c r="F141" s="19"/>
    </row>
    <row r="142">
      <c r="B142" s="26"/>
      <c r="D142" s="18"/>
      <c r="E142" s="19"/>
      <c r="F142" s="19"/>
    </row>
    <row r="143">
      <c r="B143" s="26"/>
      <c r="D143" s="18"/>
      <c r="E143" s="19"/>
      <c r="F143" s="19"/>
    </row>
    <row r="144">
      <c r="B144" s="26"/>
      <c r="D144" s="18"/>
      <c r="E144" s="19"/>
      <c r="F144" s="19"/>
    </row>
    <row r="145">
      <c r="B145" s="26"/>
      <c r="D145" s="18"/>
      <c r="E145" s="19"/>
      <c r="F145" s="19"/>
    </row>
    <row r="146">
      <c r="B146" s="26"/>
      <c r="D146" s="18"/>
      <c r="E146" s="19"/>
      <c r="F146" s="19"/>
    </row>
    <row r="147">
      <c r="B147" s="26"/>
      <c r="D147" s="18"/>
      <c r="E147" s="19"/>
      <c r="F147" s="19"/>
    </row>
    <row r="148">
      <c r="B148" s="26"/>
      <c r="D148" s="18"/>
      <c r="E148" s="19"/>
      <c r="F148" s="19"/>
    </row>
    <row r="149">
      <c r="B149" s="26"/>
      <c r="D149" s="18"/>
      <c r="E149" s="19"/>
      <c r="F149" s="19"/>
    </row>
    <row r="150">
      <c r="B150" s="26"/>
      <c r="D150" s="18"/>
      <c r="E150" s="19"/>
      <c r="F150" s="19"/>
    </row>
    <row r="151">
      <c r="B151" s="26"/>
      <c r="D151" s="18"/>
      <c r="E151" s="19"/>
      <c r="F151" s="19"/>
    </row>
    <row r="152">
      <c r="B152" s="26"/>
      <c r="D152" s="18"/>
      <c r="E152" s="19"/>
      <c r="F152" s="19"/>
    </row>
    <row r="153">
      <c r="B153" s="26"/>
      <c r="D153" s="18"/>
      <c r="E153" s="19"/>
      <c r="F153" s="19"/>
    </row>
    <row r="154">
      <c r="B154" s="26"/>
      <c r="D154" s="18"/>
      <c r="E154" s="19"/>
      <c r="F154" s="19"/>
    </row>
    <row r="155">
      <c r="B155" s="26"/>
      <c r="D155" s="18"/>
      <c r="E155" s="19"/>
      <c r="F155" s="19"/>
    </row>
    <row r="156">
      <c r="B156" s="26"/>
      <c r="D156" s="18"/>
      <c r="E156" s="19"/>
      <c r="F156" s="19"/>
    </row>
    <row r="157">
      <c r="B157" s="26"/>
      <c r="D157" s="18"/>
      <c r="E157" s="19"/>
      <c r="F157" s="19"/>
    </row>
    <row r="158">
      <c r="B158" s="26"/>
      <c r="D158" s="18"/>
      <c r="E158" s="19"/>
      <c r="F158" s="19"/>
    </row>
    <row r="159">
      <c r="B159" s="26"/>
      <c r="D159" s="18"/>
      <c r="E159" s="19"/>
      <c r="F159" s="19"/>
    </row>
    <row r="160">
      <c r="B160" s="26"/>
      <c r="D160" s="18"/>
      <c r="E160" s="19"/>
      <c r="F160" s="19"/>
    </row>
    <row r="161">
      <c r="B161" s="26"/>
      <c r="D161" s="18"/>
      <c r="E161" s="19"/>
      <c r="F161" s="19"/>
    </row>
    <row r="162">
      <c r="B162" s="26"/>
      <c r="D162" s="18"/>
      <c r="E162" s="19"/>
      <c r="F162" s="19"/>
    </row>
    <row r="163">
      <c r="B163" s="26"/>
      <c r="D163" s="18"/>
      <c r="E163" s="19"/>
      <c r="F163" s="19"/>
    </row>
    <row r="164">
      <c r="B164" s="26"/>
      <c r="D164" s="18"/>
      <c r="E164" s="19"/>
      <c r="F164" s="19"/>
    </row>
    <row r="165">
      <c r="B165" s="26"/>
      <c r="D165" s="18"/>
      <c r="E165" s="19"/>
      <c r="F165" s="19"/>
    </row>
    <row r="166">
      <c r="B166" s="26"/>
      <c r="D166" s="18"/>
      <c r="E166" s="19"/>
      <c r="F166" s="19"/>
    </row>
    <row r="167">
      <c r="B167" s="26"/>
      <c r="D167" s="18"/>
      <c r="E167" s="19"/>
      <c r="F167" s="19"/>
    </row>
    <row r="168">
      <c r="B168" s="26"/>
      <c r="D168" s="18"/>
      <c r="E168" s="19"/>
      <c r="F168" s="19"/>
    </row>
    <row r="169">
      <c r="B169" s="26"/>
      <c r="D169" s="18"/>
      <c r="E169" s="19"/>
      <c r="F169" s="19"/>
    </row>
    <row r="170">
      <c r="B170" s="26"/>
      <c r="D170" s="18"/>
      <c r="E170" s="19"/>
      <c r="F170" s="19"/>
    </row>
    <row r="171">
      <c r="B171" s="26"/>
      <c r="D171" s="18"/>
      <c r="E171" s="19"/>
      <c r="F171" s="19"/>
    </row>
    <row r="172">
      <c r="B172" s="26"/>
      <c r="D172" s="18"/>
      <c r="E172" s="19"/>
      <c r="F172" s="19"/>
    </row>
    <row r="173">
      <c r="B173" s="26"/>
      <c r="D173" s="18"/>
      <c r="E173" s="19"/>
      <c r="F173" s="19"/>
    </row>
    <row r="174">
      <c r="B174" s="26"/>
      <c r="D174" s="18"/>
      <c r="E174" s="19"/>
      <c r="F174" s="19"/>
    </row>
    <row r="175">
      <c r="B175" s="26"/>
      <c r="D175" s="18"/>
      <c r="E175" s="19"/>
      <c r="F175" s="19"/>
    </row>
    <row r="176">
      <c r="B176" s="26"/>
      <c r="D176" s="18"/>
      <c r="E176" s="19"/>
      <c r="F176" s="19"/>
    </row>
    <row r="177">
      <c r="B177" s="26"/>
      <c r="D177" s="18"/>
      <c r="E177" s="19"/>
      <c r="F177" s="19"/>
    </row>
    <row r="178">
      <c r="B178" s="26"/>
      <c r="D178" s="18"/>
      <c r="E178" s="19"/>
      <c r="F178" s="19"/>
    </row>
    <row r="179">
      <c r="B179" s="26"/>
      <c r="D179" s="18"/>
      <c r="E179" s="19"/>
      <c r="F179" s="19"/>
    </row>
    <row r="180">
      <c r="B180" s="26"/>
      <c r="D180" s="18"/>
      <c r="E180" s="19"/>
      <c r="F180" s="19"/>
    </row>
    <row r="181">
      <c r="B181" s="26"/>
      <c r="D181" s="18"/>
      <c r="E181" s="19"/>
      <c r="F181" s="19"/>
    </row>
    <row r="182">
      <c r="B182" s="26"/>
      <c r="D182" s="18"/>
      <c r="E182" s="19"/>
      <c r="F182" s="19"/>
    </row>
    <row r="183">
      <c r="B183" s="26"/>
      <c r="D183" s="18"/>
      <c r="E183" s="19"/>
      <c r="F183" s="19"/>
    </row>
    <row r="184">
      <c r="B184" s="26"/>
      <c r="D184" s="18"/>
      <c r="E184" s="19"/>
      <c r="F184" s="19"/>
    </row>
    <row r="185">
      <c r="B185" s="26"/>
      <c r="D185" s="18"/>
      <c r="E185" s="19"/>
      <c r="F185" s="19"/>
    </row>
    <row r="186">
      <c r="B186" s="26"/>
      <c r="D186" s="18"/>
      <c r="E186" s="19"/>
      <c r="F186" s="19"/>
    </row>
    <row r="187">
      <c r="B187" s="26"/>
      <c r="D187" s="18"/>
      <c r="E187" s="19"/>
      <c r="F187" s="19"/>
    </row>
    <row r="188">
      <c r="B188" s="26"/>
      <c r="D188" s="18"/>
      <c r="E188" s="19"/>
      <c r="F188" s="19"/>
    </row>
    <row r="189">
      <c r="B189" s="26"/>
      <c r="D189" s="18"/>
      <c r="E189" s="19"/>
      <c r="F189" s="19"/>
    </row>
    <row r="190">
      <c r="B190" s="26"/>
      <c r="D190" s="18"/>
      <c r="E190" s="19"/>
      <c r="F190" s="19"/>
    </row>
    <row r="191">
      <c r="B191" s="26"/>
      <c r="D191" s="18"/>
      <c r="E191" s="19"/>
      <c r="F191" s="19"/>
    </row>
    <row r="192">
      <c r="B192" s="26"/>
      <c r="D192" s="18"/>
      <c r="E192" s="19"/>
      <c r="F192" s="19"/>
    </row>
    <row r="193">
      <c r="B193" s="26"/>
      <c r="D193" s="18"/>
      <c r="E193" s="19"/>
      <c r="F193" s="19"/>
    </row>
    <row r="194">
      <c r="B194" s="26"/>
      <c r="D194" s="18"/>
      <c r="E194" s="19"/>
      <c r="F194" s="19"/>
    </row>
    <row r="195">
      <c r="B195" s="26"/>
      <c r="D195" s="18"/>
      <c r="E195" s="19"/>
      <c r="F195" s="19"/>
    </row>
    <row r="196">
      <c r="B196" s="26"/>
      <c r="D196" s="18"/>
      <c r="E196" s="19"/>
      <c r="F196" s="19"/>
    </row>
    <row r="197">
      <c r="B197" s="26"/>
      <c r="D197" s="18"/>
      <c r="E197" s="19"/>
      <c r="F197" s="19"/>
    </row>
    <row r="198">
      <c r="B198" s="26"/>
      <c r="D198" s="18"/>
      <c r="E198" s="19"/>
      <c r="F198" s="19"/>
    </row>
    <row r="199">
      <c r="B199" s="26"/>
      <c r="D199" s="18"/>
      <c r="E199" s="19"/>
      <c r="F199" s="19"/>
    </row>
    <row r="200">
      <c r="B200" s="26"/>
      <c r="D200" s="18"/>
      <c r="E200" s="19"/>
      <c r="F200" s="19"/>
    </row>
    <row r="201">
      <c r="B201" s="26"/>
      <c r="D201" s="18"/>
      <c r="E201" s="19"/>
      <c r="F201" s="19"/>
    </row>
    <row r="202">
      <c r="B202" s="26"/>
      <c r="D202" s="18"/>
      <c r="E202" s="19"/>
      <c r="F202" s="19"/>
    </row>
    <row r="203">
      <c r="B203" s="26"/>
      <c r="D203" s="18"/>
      <c r="E203" s="19"/>
      <c r="F203" s="19"/>
    </row>
    <row r="204">
      <c r="B204" s="26"/>
      <c r="D204" s="18"/>
      <c r="E204" s="19"/>
      <c r="F204" s="19"/>
    </row>
    <row r="205">
      <c r="B205" s="26"/>
      <c r="D205" s="18"/>
      <c r="E205" s="19"/>
      <c r="F205" s="19"/>
    </row>
    <row r="206">
      <c r="B206" s="26"/>
      <c r="D206" s="18"/>
      <c r="E206" s="19"/>
      <c r="F206" s="19"/>
    </row>
    <row r="207">
      <c r="B207" s="26"/>
      <c r="D207" s="18"/>
      <c r="E207" s="19"/>
      <c r="F207" s="19"/>
    </row>
    <row r="208">
      <c r="B208" s="26"/>
      <c r="D208" s="18"/>
      <c r="E208" s="19"/>
      <c r="F208" s="19"/>
    </row>
    <row r="209">
      <c r="B209" s="26"/>
      <c r="D209" s="18"/>
      <c r="E209" s="19"/>
      <c r="F209" s="19"/>
    </row>
    <row r="210">
      <c r="B210" s="26"/>
      <c r="D210" s="18"/>
      <c r="E210" s="19"/>
      <c r="F210" s="19"/>
    </row>
    <row r="211">
      <c r="B211" s="26"/>
      <c r="D211" s="18"/>
      <c r="E211" s="19"/>
      <c r="F211" s="19"/>
    </row>
    <row r="212">
      <c r="B212" s="26"/>
      <c r="D212" s="18"/>
      <c r="E212" s="19"/>
      <c r="F212" s="19"/>
    </row>
    <row r="213">
      <c r="B213" s="26"/>
      <c r="D213" s="18"/>
      <c r="E213" s="19"/>
      <c r="F213" s="19"/>
    </row>
    <row r="214">
      <c r="B214" s="26"/>
      <c r="D214" s="18"/>
      <c r="E214" s="19"/>
      <c r="F214" s="19"/>
    </row>
    <row r="215">
      <c r="B215" s="26"/>
      <c r="D215" s="18"/>
      <c r="E215" s="19"/>
      <c r="F215" s="19"/>
    </row>
    <row r="216">
      <c r="B216" s="26"/>
      <c r="D216" s="18"/>
      <c r="E216" s="19"/>
      <c r="F216" s="19"/>
    </row>
    <row r="217">
      <c r="B217" s="26"/>
      <c r="D217" s="18"/>
      <c r="E217" s="19"/>
      <c r="F217" s="19"/>
    </row>
    <row r="218">
      <c r="B218" s="26"/>
      <c r="D218" s="18"/>
      <c r="E218" s="19"/>
      <c r="F218" s="19"/>
    </row>
    <row r="219">
      <c r="B219" s="26"/>
      <c r="D219" s="18"/>
      <c r="E219" s="19"/>
      <c r="F219" s="19"/>
    </row>
    <row r="220">
      <c r="B220" s="26"/>
      <c r="D220" s="18"/>
      <c r="E220" s="19"/>
      <c r="F220" s="19"/>
    </row>
    <row r="221">
      <c r="B221" s="26"/>
      <c r="D221" s="18"/>
      <c r="E221" s="19"/>
      <c r="F221" s="19"/>
    </row>
    <row r="222">
      <c r="B222" s="26"/>
      <c r="D222" s="18"/>
      <c r="E222" s="19"/>
      <c r="F222" s="19"/>
    </row>
    <row r="223">
      <c r="B223" s="26"/>
      <c r="D223" s="18"/>
      <c r="E223" s="19"/>
      <c r="F223" s="19"/>
    </row>
    <row r="224">
      <c r="B224" s="26"/>
      <c r="D224" s="18"/>
      <c r="E224" s="19"/>
      <c r="F224" s="19"/>
    </row>
    <row r="225">
      <c r="B225" s="26"/>
      <c r="D225" s="18"/>
      <c r="E225" s="19"/>
      <c r="F225" s="19"/>
    </row>
    <row r="226">
      <c r="B226" s="26"/>
      <c r="D226" s="18"/>
      <c r="E226" s="19"/>
      <c r="F226" s="19"/>
    </row>
    <row r="227">
      <c r="B227" s="26"/>
      <c r="D227" s="18"/>
      <c r="E227" s="19"/>
      <c r="F227" s="19"/>
    </row>
    <row r="228">
      <c r="B228" s="26"/>
      <c r="D228" s="18"/>
      <c r="E228" s="19"/>
      <c r="F228" s="19"/>
    </row>
    <row r="229">
      <c r="B229" s="26"/>
      <c r="D229" s="18"/>
      <c r="E229" s="19"/>
      <c r="F229" s="19"/>
    </row>
    <row r="230">
      <c r="B230" s="26"/>
      <c r="D230" s="18"/>
      <c r="E230" s="19"/>
      <c r="F230" s="19"/>
    </row>
    <row r="231">
      <c r="B231" s="26"/>
      <c r="D231" s="18"/>
      <c r="E231" s="19"/>
      <c r="F231" s="19"/>
    </row>
    <row r="232">
      <c r="B232" s="26"/>
      <c r="D232" s="18"/>
      <c r="E232" s="19"/>
      <c r="F232" s="19"/>
    </row>
    <row r="233">
      <c r="B233" s="26"/>
      <c r="D233" s="18"/>
      <c r="E233" s="19"/>
      <c r="F233" s="19"/>
    </row>
    <row r="234">
      <c r="B234" s="26"/>
      <c r="D234" s="18"/>
      <c r="E234" s="19"/>
      <c r="F234" s="19"/>
    </row>
    <row r="235">
      <c r="B235" s="26"/>
      <c r="D235" s="18"/>
      <c r="E235" s="19"/>
      <c r="F235" s="19"/>
    </row>
    <row r="236">
      <c r="B236" s="26"/>
      <c r="D236" s="18"/>
      <c r="E236" s="19"/>
      <c r="F236" s="19"/>
    </row>
    <row r="237">
      <c r="B237" s="26"/>
      <c r="D237" s="18"/>
      <c r="E237" s="19"/>
      <c r="F237" s="19"/>
    </row>
    <row r="238">
      <c r="B238" s="26"/>
      <c r="D238" s="18"/>
      <c r="E238" s="19"/>
      <c r="F238" s="19"/>
    </row>
    <row r="239">
      <c r="B239" s="26"/>
      <c r="D239" s="18"/>
      <c r="E239" s="19"/>
      <c r="F239" s="19"/>
    </row>
    <row r="240">
      <c r="B240" s="26"/>
      <c r="D240" s="18"/>
      <c r="E240" s="19"/>
      <c r="F240" s="19"/>
    </row>
    <row r="241">
      <c r="B241" s="26"/>
      <c r="D241" s="18"/>
      <c r="E241" s="19"/>
      <c r="F241" s="19"/>
    </row>
    <row r="242">
      <c r="B242" s="26"/>
      <c r="D242" s="18"/>
      <c r="E242" s="19"/>
      <c r="F242" s="19"/>
    </row>
    <row r="243">
      <c r="B243" s="26"/>
      <c r="D243" s="18"/>
      <c r="E243" s="19"/>
      <c r="F243" s="19"/>
    </row>
    <row r="244">
      <c r="B244" s="26"/>
      <c r="D244" s="18"/>
      <c r="E244" s="19"/>
      <c r="F244" s="19"/>
    </row>
    <row r="245">
      <c r="B245" s="26"/>
      <c r="D245" s="18"/>
      <c r="E245" s="19"/>
      <c r="F245" s="19"/>
    </row>
    <row r="246">
      <c r="B246" s="26"/>
      <c r="D246" s="18"/>
      <c r="E246" s="19"/>
      <c r="F246" s="19"/>
    </row>
    <row r="247">
      <c r="B247" s="26"/>
      <c r="D247" s="18"/>
      <c r="E247" s="19"/>
      <c r="F247" s="19"/>
    </row>
    <row r="248">
      <c r="B248" s="26"/>
      <c r="D248" s="18"/>
      <c r="E248" s="19"/>
      <c r="F248" s="19"/>
    </row>
    <row r="249">
      <c r="B249" s="26"/>
      <c r="D249" s="18"/>
      <c r="E249" s="19"/>
      <c r="F249" s="19"/>
    </row>
    <row r="250">
      <c r="B250" s="26"/>
      <c r="D250" s="18"/>
      <c r="E250" s="19"/>
      <c r="F250" s="19"/>
    </row>
    <row r="251">
      <c r="B251" s="26"/>
      <c r="D251" s="18"/>
      <c r="E251" s="19"/>
      <c r="F251" s="19"/>
    </row>
    <row r="252">
      <c r="B252" s="26"/>
      <c r="D252" s="18"/>
      <c r="E252" s="19"/>
      <c r="F252" s="19"/>
    </row>
    <row r="253">
      <c r="B253" s="26"/>
      <c r="D253" s="18"/>
      <c r="E253" s="19"/>
      <c r="F253" s="19"/>
    </row>
    <row r="254">
      <c r="B254" s="26"/>
      <c r="D254" s="18"/>
      <c r="E254" s="19"/>
      <c r="F254" s="19"/>
    </row>
    <row r="255">
      <c r="B255" s="26"/>
      <c r="D255" s="18"/>
      <c r="E255" s="19"/>
      <c r="F255" s="19"/>
    </row>
    <row r="256">
      <c r="B256" s="26"/>
      <c r="D256" s="18"/>
      <c r="E256" s="19"/>
      <c r="F256" s="19"/>
    </row>
    <row r="257">
      <c r="B257" s="26"/>
      <c r="D257" s="18"/>
      <c r="E257" s="19"/>
      <c r="F257" s="19"/>
    </row>
    <row r="258">
      <c r="B258" s="26"/>
      <c r="D258" s="18"/>
      <c r="E258" s="19"/>
      <c r="F258" s="19"/>
    </row>
    <row r="259">
      <c r="B259" s="26"/>
      <c r="D259" s="18"/>
      <c r="E259" s="19"/>
      <c r="F259" s="19"/>
    </row>
    <row r="260">
      <c r="B260" s="26"/>
      <c r="D260" s="18"/>
      <c r="E260" s="19"/>
      <c r="F260" s="19"/>
    </row>
    <row r="261">
      <c r="B261" s="26"/>
      <c r="D261" s="18"/>
      <c r="E261" s="19"/>
      <c r="F261" s="19"/>
    </row>
    <row r="262">
      <c r="B262" s="26"/>
      <c r="D262" s="18"/>
      <c r="E262" s="19"/>
      <c r="F262" s="19"/>
    </row>
    <row r="263">
      <c r="B263" s="26"/>
      <c r="D263" s="18"/>
      <c r="E263" s="19"/>
      <c r="F263" s="19"/>
    </row>
    <row r="264">
      <c r="B264" s="26"/>
      <c r="D264" s="18"/>
      <c r="E264" s="19"/>
      <c r="F264" s="19"/>
    </row>
    <row r="265">
      <c r="B265" s="26"/>
      <c r="D265" s="18"/>
      <c r="E265" s="19"/>
      <c r="F265" s="19"/>
    </row>
    <row r="266">
      <c r="B266" s="26"/>
      <c r="D266" s="18"/>
      <c r="E266" s="19"/>
      <c r="F266" s="19"/>
    </row>
    <row r="267">
      <c r="B267" s="26"/>
      <c r="D267" s="18"/>
      <c r="E267" s="19"/>
      <c r="F267" s="19"/>
    </row>
    <row r="268">
      <c r="B268" s="26"/>
      <c r="D268" s="18"/>
      <c r="E268" s="19"/>
      <c r="F268" s="19"/>
    </row>
    <row r="269">
      <c r="B269" s="26"/>
      <c r="D269" s="18"/>
      <c r="E269" s="19"/>
      <c r="F269" s="19"/>
    </row>
    <row r="270">
      <c r="B270" s="26"/>
      <c r="D270" s="18"/>
      <c r="E270" s="19"/>
      <c r="F270" s="19"/>
    </row>
    <row r="271">
      <c r="B271" s="26"/>
      <c r="D271" s="18"/>
      <c r="E271" s="19"/>
      <c r="F271" s="19"/>
    </row>
    <row r="272">
      <c r="B272" s="26"/>
      <c r="D272" s="18"/>
      <c r="E272" s="19"/>
      <c r="F272" s="19"/>
    </row>
    <row r="273">
      <c r="B273" s="26"/>
      <c r="D273" s="18"/>
      <c r="E273" s="19"/>
      <c r="F273" s="19"/>
    </row>
    <row r="274">
      <c r="B274" s="26"/>
      <c r="D274" s="18"/>
      <c r="E274" s="19"/>
      <c r="F274" s="19"/>
    </row>
    <row r="275">
      <c r="B275" s="26"/>
      <c r="D275" s="18"/>
      <c r="E275" s="19"/>
      <c r="F275" s="19"/>
    </row>
    <row r="276">
      <c r="B276" s="26"/>
      <c r="D276" s="18"/>
      <c r="E276" s="19"/>
      <c r="F276" s="19"/>
    </row>
    <row r="277">
      <c r="B277" s="26"/>
      <c r="D277" s="18"/>
      <c r="E277" s="19"/>
      <c r="F277" s="19"/>
    </row>
    <row r="278">
      <c r="B278" s="26"/>
      <c r="D278" s="18"/>
      <c r="E278" s="19"/>
      <c r="F278" s="19"/>
    </row>
    <row r="279">
      <c r="B279" s="26"/>
      <c r="D279" s="18"/>
      <c r="E279" s="19"/>
      <c r="F279" s="19"/>
    </row>
    <row r="280">
      <c r="B280" s="26"/>
      <c r="D280" s="18"/>
      <c r="E280" s="19"/>
      <c r="F280" s="19"/>
    </row>
    <row r="281">
      <c r="B281" s="26"/>
      <c r="D281" s="18"/>
      <c r="E281" s="19"/>
      <c r="F281" s="19"/>
    </row>
    <row r="282">
      <c r="B282" s="26"/>
      <c r="D282" s="18"/>
      <c r="E282" s="19"/>
      <c r="F282" s="19"/>
    </row>
    <row r="283">
      <c r="B283" s="26"/>
      <c r="D283" s="18"/>
      <c r="E283" s="19"/>
      <c r="F283" s="19"/>
    </row>
    <row r="284">
      <c r="B284" s="26"/>
      <c r="D284" s="18"/>
      <c r="E284" s="19"/>
      <c r="F284" s="19"/>
    </row>
    <row r="285">
      <c r="B285" s="26"/>
      <c r="D285" s="18"/>
      <c r="E285" s="19"/>
      <c r="F285" s="19"/>
    </row>
    <row r="286">
      <c r="B286" s="26"/>
      <c r="D286" s="18"/>
      <c r="E286" s="19"/>
      <c r="F286" s="19"/>
    </row>
    <row r="287">
      <c r="B287" s="26"/>
      <c r="D287" s="18"/>
      <c r="E287" s="19"/>
      <c r="F287" s="19"/>
    </row>
    <row r="288">
      <c r="B288" s="26"/>
      <c r="D288" s="18"/>
      <c r="E288" s="19"/>
      <c r="F288" s="19"/>
    </row>
    <row r="289">
      <c r="B289" s="26"/>
      <c r="D289" s="18"/>
      <c r="E289" s="19"/>
      <c r="F289" s="19"/>
    </row>
    <row r="290">
      <c r="B290" s="26"/>
      <c r="D290" s="18"/>
      <c r="E290" s="19"/>
      <c r="F290" s="19"/>
    </row>
    <row r="291">
      <c r="B291" s="26"/>
      <c r="D291" s="18"/>
      <c r="E291" s="19"/>
      <c r="F291" s="19"/>
    </row>
    <row r="292">
      <c r="B292" s="26"/>
      <c r="D292" s="18"/>
      <c r="E292" s="19"/>
      <c r="F292" s="19"/>
    </row>
    <row r="293">
      <c r="B293" s="26"/>
      <c r="D293" s="18"/>
      <c r="E293" s="19"/>
      <c r="F293" s="19"/>
    </row>
    <row r="294">
      <c r="B294" s="26"/>
      <c r="D294" s="18"/>
      <c r="E294" s="19"/>
      <c r="F294" s="19"/>
    </row>
    <row r="295">
      <c r="B295" s="26"/>
      <c r="D295" s="18"/>
      <c r="E295" s="19"/>
      <c r="F295" s="19"/>
    </row>
    <row r="296">
      <c r="B296" s="26"/>
      <c r="D296" s="18"/>
      <c r="E296" s="19"/>
      <c r="F296" s="19"/>
    </row>
    <row r="297">
      <c r="B297" s="26"/>
      <c r="D297" s="18"/>
      <c r="E297" s="19"/>
      <c r="F297" s="19"/>
    </row>
    <row r="298">
      <c r="B298" s="26"/>
      <c r="D298" s="18"/>
      <c r="E298" s="19"/>
      <c r="F298" s="19"/>
    </row>
    <row r="299">
      <c r="B299" s="26"/>
      <c r="D299" s="18"/>
      <c r="E299" s="19"/>
      <c r="F299" s="19"/>
    </row>
    <row r="300">
      <c r="B300" s="26"/>
      <c r="D300" s="18"/>
      <c r="E300" s="19"/>
      <c r="F300" s="19"/>
    </row>
    <row r="301">
      <c r="B301" s="26"/>
      <c r="D301" s="18"/>
      <c r="E301" s="19"/>
      <c r="F301" s="19"/>
    </row>
    <row r="302">
      <c r="B302" s="26"/>
      <c r="D302" s="18"/>
      <c r="E302" s="19"/>
      <c r="F302" s="19"/>
    </row>
    <row r="303">
      <c r="B303" s="26"/>
      <c r="D303" s="18"/>
      <c r="E303" s="19"/>
      <c r="F303" s="19"/>
    </row>
    <row r="304">
      <c r="B304" s="26"/>
      <c r="D304" s="18"/>
      <c r="E304" s="19"/>
      <c r="F304" s="19"/>
    </row>
    <row r="305">
      <c r="B305" s="26"/>
      <c r="D305" s="18"/>
      <c r="E305" s="19"/>
      <c r="F305" s="19"/>
    </row>
    <row r="306">
      <c r="B306" s="26"/>
      <c r="D306" s="18"/>
      <c r="E306" s="19"/>
      <c r="F306" s="19"/>
    </row>
    <row r="307">
      <c r="B307" s="26"/>
      <c r="D307" s="18"/>
      <c r="E307" s="19"/>
      <c r="F307" s="19"/>
    </row>
    <row r="308">
      <c r="B308" s="26"/>
      <c r="D308" s="18"/>
      <c r="E308" s="19"/>
      <c r="F308" s="19"/>
    </row>
    <row r="309">
      <c r="B309" s="26"/>
      <c r="D309" s="18"/>
      <c r="E309" s="19"/>
      <c r="F309" s="19"/>
    </row>
    <row r="310">
      <c r="B310" s="26"/>
      <c r="D310" s="18"/>
      <c r="E310" s="19"/>
      <c r="F310" s="19"/>
    </row>
    <row r="311">
      <c r="B311" s="26"/>
      <c r="D311" s="18"/>
      <c r="E311" s="19"/>
      <c r="F311" s="19"/>
    </row>
    <row r="312">
      <c r="B312" s="26"/>
      <c r="D312" s="18"/>
      <c r="E312" s="19"/>
      <c r="F312" s="19"/>
    </row>
    <row r="313">
      <c r="B313" s="26"/>
      <c r="D313" s="18"/>
      <c r="E313" s="19"/>
      <c r="F313" s="19"/>
    </row>
    <row r="314">
      <c r="B314" s="26"/>
      <c r="D314" s="18"/>
      <c r="E314" s="19"/>
      <c r="F314" s="19"/>
    </row>
    <row r="315">
      <c r="B315" s="26"/>
      <c r="D315" s="18"/>
      <c r="E315" s="19"/>
      <c r="F315" s="19"/>
    </row>
    <row r="316">
      <c r="B316" s="26"/>
      <c r="D316" s="18"/>
      <c r="E316" s="19"/>
      <c r="F316" s="19"/>
    </row>
    <row r="317">
      <c r="B317" s="26"/>
      <c r="D317" s="18"/>
      <c r="E317" s="19"/>
      <c r="F317" s="19"/>
    </row>
    <row r="318">
      <c r="B318" s="26"/>
      <c r="D318" s="18"/>
      <c r="E318" s="19"/>
      <c r="F318" s="19"/>
    </row>
    <row r="319">
      <c r="B319" s="26"/>
      <c r="D319" s="18"/>
      <c r="E319" s="19"/>
      <c r="F319" s="19"/>
    </row>
    <row r="320">
      <c r="B320" s="26"/>
      <c r="D320" s="18"/>
      <c r="E320" s="19"/>
      <c r="F320" s="19"/>
    </row>
    <row r="321">
      <c r="B321" s="26"/>
      <c r="D321" s="18"/>
      <c r="E321" s="19"/>
      <c r="F321" s="19"/>
    </row>
    <row r="322">
      <c r="B322" s="26"/>
      <c r="D322" s="18"/>
      <c r="E322" s="19"/>
      <c r="F322" s="19"/>
    </row>
    <row r="323">
      <c r="B323" s="26"/>
      <c r="D323" s="18"/>
      <c r="E323" s="19"/>
      <c r="F323" s="19"/>
    </row>
    <row r="324">
      <c r="B324" s="26"/>
      <c r="D324" s="18"/>
      <c r="E324" s="19"/>
      <c r="F324" s="19"/>
    </row>
    <row r="325">
      <c r="B325" s="26"/>
      <c r="D325" s="18"/>
      <c r="E325" s="19"/>
      <c r="F325" s="19"/>
    </row>
    <row r="326">
      <c r="B326" s="26"/>
      <c r="D326" s="18"/>
      <c r="E326" s="19"/>
      <c r="F326" s="19"/>
    </row>
    <row r="327">
      <c r="B327" s="26"/>
      <c r="D327" s="18"/>
      <c r="E327" s="19"/>
      <c r="F327" s="19"/>
    </row>
    <row r="328">
      <c r="B328" s="26"/>
      <c r="D328" s="18"/>
      <c r="E328" s="19"/>
      <c r="F328" s="19"/>
    </row>
    <row r="329">
      <c r="B329" s="26"/>
      <c r="D329" s="18"/>
      <c r="E329" s="19"/>
      <c r="F329" s="19"/>
    </row>
    <row r="330">
      <c r="B330" s="26"/>
      <c r="D330" s="18"/>
      <c r="E330" s="19"/>
      <c r="F330" s="19"/>
    </row>
    <row r="331">
      <c r="B331" s="26"/>
      <c r="D331" s="18"/>
      <c r="E331" s="19"/>
      <c r="F331" s="19"/>
    </row>
    <row r="332">
      <c r="B332" s="26"/>
      <c r="D332" s="18"/>
      <c r="E332" s="19"/>
      <c r="F332" s="19"/>
    </row>
    <row r="333">
      <c r="B333" s="26"/>
      <c r="D333" s="18"/>
      <c r="E333" s="19"/>
      <c r="F333" s="19"/>
    </row>
    <row r="334">
      <c r="B334" s="26"/>
      <c r="D334" s="18"/>
      <c r="E334" s="19"/>
      <c r="F334" s="19"/>
    </row>
    <row r="335">
      <c r="B335" s="26"/>
      <c r="D335" s="18"/>
      <c r="E335" s="19"/>
      <c r="F335" s="19"/>
    </row>
    <row r="336">
      <c r="B336" s="26"/>
      <c r="D336" s="18"/>
      <c r="E336" s="19"/>
      <c r="F336" s="19"/>
    </row>
    <row r="337">
      <c r="B337" s="26"/>
      <c r="D337" s="18"/>
      <c r="E337" s="19"/>
      <c r="F337" s="19"/>
    </row>
    <row r="338">
      <c r="B338" s="26"/>
      <c r="D338" s="18"/>
      <c r="E338" s="19"/>
      <c r="F338" s="19"/>
    </row>
    <row r="339">
      <c r="B339" s="26"/>
      <c r="D339" s="18"/>
      <c r="E339" s="19"/>
      <c r="F339" s="19"/>
    </row>
    <row r="340">
      <c r="B340" s="26"/>
      <c r="D340" s="18"/>
      <c r="E340" s="19"/>
      <c r="F340" s="19"/>
    </row>
    <row r="341">
      <c r="B341" s="26"/>
      <c r="D341" s="18"/>
      <c r="E341" s="19"/>
      <c r="F341" s="19"/>
    </row>
    <row r="342">
      <c r="B342" s="26"/>
      <c r="D342" s="18"/>
      <c r="E342" s="19"/>
      <c r="F342" s="19"/>
    </row>
    <row r="343">
      <c r="B343" s="26"/>
      <c r="D343" s="18"/>
      <c r="E343" s="19"/>
      <c r="F343" s="19"/>
    </row>
    <row r="344">
      <c r="B344" s="26"/>
      <c r="D344" s="18"/>
      <c r="E344" s="19"/>
      <c r="F344" s="19"/>
    </row>
    <row r="345">
      <c r="B345" s="26"/>
      <c r="D345" s="18"/>
      <c r="E345" s="19"/>
      <c r="F345" s="19"/>
    </row>
    <row r="346">
      <c r="B346" s="26"/>
      <c r="D346" s="18"/>
      <c r="E346" s="19"/>
      <c r="F346" s="19"/>
    </row>
    <row r="347">
      <c r="B347" s="26"/>
      <c r="D347" s="18"/>
      <c r="E347" s="19"/>
      <c r="F347" s="19"/>
    </row>
    <row r="348">
      <c r="B348" s="26"/>
      <c r="D348" s="18"/>
      <c r="E348" s="19"/>
      <c r="F348" s="19"/>
    </row>
    <row r="349">
      <c r="B349" s="26"/>
      <c r="D349" s="18"/>
      <c r="E349" s="19"/>
      <c r="F349" s="19"/>
    </row>
    <row r="350">
      <c r="B350" s="26"/>
      <c r="D350" s="18"/>
      <c r="E350" s="19"/>
      <c r="F350" s="19"/>
    </row>
    <row r="351">
      <c r="B351" s="26"/>
      <c r="D351" s="18"/>
      <c r="E351" s="19"/>
      <c r="F351" s="19"/>
    </row>
    <row r="352">
      <c r="B352" s="26"/>
      <c r="D352" s="18"/>
      <c r="E352" s="19"/>
      <c r="F352" s="19"/>
    </row>
    <row r="353">
      <c r="B353" s="26"/>
      <c r="D353" s="18"/>
      <c r="E353" s="19"/>
      <c r="F353" s="19"/>
    </row>
    <row r="354">
      <c r="B354" s="26"/>
      <c r="D354" s="18"/>
      <c r="E354" s="19"/>
      <c r="F354" s="19"/>
    </row>
    <row r="355">
      <c r="B355" s="26"/>
      <c r="D355" s="18"/>
      <c r="E355" s="19"/>
      <c r="F355" s="19"/>
    </row>
    <row r="356">
      <c r="B356" s="26"/>
      <c r="D356" s="18"/>
      <c r="E356" s="19"/>
      <c r="F356" s="19"/>
    </row>
    <row r="357">
      <c r="B357" s="26"/>
      <c r="D357" s="18"/>
      <c r="E357" s="19"/>
      <c r="F357" s="19"/>
    </row>
    <row r="358">
      <c r="B358" s="26"/>
      <c r="D358" s="18"/>
      <c r="E358" s="19"/>
      <c r="F358" s="19"/>
    </row>
    <row r="359">
      <c r="B359" s="26"/>
      <c r="D359" s="18"/>
      <c r="E359" s="19"/>
      <c r="F359" s="19"/>
    </row>
    <row r="360">
      <c r="B360" s="26"/>
      <c r="D360" s="18"/>
      <c r="E360" s="19"/>
      <c r="F360" s="19"/>
    </row>
    <row r="361">
      <c r="B361" s="26"/>
      <c r="D361" s="18"/>
      <c r="E361" s="19"/>
      <c r="F361" s="19"/>
    </row>
    <row r="362">
      <c r="B362" s="26"/>
      <c r="D362" s="18"/>
      <c r="E362" s="19"/>
      <c r="F362" s="19"/>
    </row>
    <row r="363">
      <c r="B363" s="26"/>
      <c r="D363" s="18"/>
      <c r="E363" s="19"/>
      <c r="F363" s="19"/>
    </row>
    <row r="364">
      <c r="B364" s="26"/>
      <c r="D364" s="18"/>
      <c r="E364" s="19"/>
      <c r="F364" s="19"/>
    </row>
    <row r="365">
      <c r="B365" s="26"/>
      <c r="D365" s="18"/>
      <c r="E365" s="19"/>
      <c r="F365" s="19"/>
    </row>
    <row r="366">
      <c r="B366" s="26"/>
      <c r="D366" s="18"/>
      <c r="E366" s="19"/>
      <c r="F366" s="19"/>
    </row>
    <row r="367">
      <c r="B367" s="26"/>
      <c r="D367" s="18"/>
      <c r="E367" s="19"/>
      <c r="F367" s="19"/>
    </row>
    <row r="368">
      <c r="B368" s="26"/>
      <c r="D368" s="18"/>
      <c r="E368" s="19"/>
      <c r="F368" s="19"/>
    </row>
    <row r="369">
      <c r="B369" s="26"/>
      <c r="D369" s="18"/>
      <c r="E369" s="19"/>
      <c r="F369" s="19"/>
    </row>
    <row r="370">
      <c r="B370" s="26"/>
      <c r="D370" s="18"/>
      <c r="E370" s="19"/>
      <c r="F370" s="19"/>
    </row>
    <row r="371">
      <c r="B371" s="26"/>
      <c r="D371" s="18"/>
      <c r="E371" s="19"/>
      <c r="F371" s="19"/>
    </row>
    <row r="372">
      <c r="B372" s="26"/>
      <c r="D372" s="18"/>
      <c r="E372" s="19"/>
      <c r="F372" s="19"/>
    </row>
    <row r="373">
      <c r="B373" s="26"/>
      <c r="D373" s="18"/>
      <c r="E373" s="19"/>
      <c r="F373" s="19"/>
    </row>
    <row r="374">
      <c r="B374" s="26"/>
      <c r="D374" s="18"/>
      <c r="E374" s="19"/>
      <c r="F374" s="19"/>
    </row>
    <row r="375">
      <c r="B375" s="26"/>
      <c r="D375" s="18"/>
      <c r="E375" s="19"/>
      <c r="F375" s="19"/>
    </row>
    <row r="376">
      <c r="B376" s="26"/>
      <c r="D376" s="18"/>
      <c r="E376" s="19"/>
      <c r="F376" s="19"/>
    </row>
    <row r="377">
      <c r="B377" s="26"/>
      <c r="D377" s="18"/>
      <c r="E377" s="19"/>
      <c r="F377" s="19"/>
    </row>
    <row r="378">
      <c r="B378" s="26"/>
      <c r="D378" s="18"/>
      <c r="E378" s="19"/>
      <c r="F378" s="19"/>
    </row>
    <row r="379">
      <c r="B379" s="26"/>
      <c r="D379" s="18"/>
      <c r="E379" s="19"/>
      <c r="F379" s="19"/>
    </row>
    <row r="380">
      <c r="B380" s="26"/>
      <c r="D380" s="18"/>
      <c r="E380" s="19"/>
      <c r="F380" s="19"/>
    </row>
    <row r="381">
      <c r="B381" s="26"/>
      <c r="D381" s="18"/>
      <c r="E381" s="19"/>
      <c r="F381" s="19"/>
    </row>
    <row r="382">
      <c r="B382" s="26"/>
      <c r="D382" s="18"/>
      <c r="E382" s="19"/>
      <c r="F382" s="19"/>
    </row>
    <row r="383">
      <c r="B383" s="26"/>
      <c r="D383" s="18"/>
      <c r="E383" s="19"/>
      <c r="F383" s="19"/>
    </row>
    <row r="384">
      <c r="B384" s="26"/>
      <c r="D384" s="18"/>
      <c r="E384" s="19"/>
      <c r="F384" s="19"/>
    </row>
    <row r="385">
      <c r="B385" s="26"/>
      <c r="D385" s="18"/>
      <c r="E385" s="19"/>
      <c r="F385" s="19"/>
    </row>
    <row r="386">
      <c r="B386" s="26"/>
      <c r="D386" s="18"/>
      <c r="E386" s="19"/>
      <c r="F386" s="19"/>
    </row>
    <row r="387">
      <c r="B387" s="26"/>
      <c r="D387" s="18"/>
      <c r="E387" s="19"/>
      <c r="F387" s="19"/>
    </row>
    <row r="388">
      <c r="B388" s="26"/>
      <c r="D388" s="18"/>
      <c r="E388" s="19"/>
      <c r="F388" s="19"/>
    </row>
    <row r="389">
      <c r="B389" s="26"/>
      <c r="D389" s="18"/>
      <c r="E389" s="19"/>
      <c r="F389" s="19"/>
    </row>
    <row r="390">
      <c r="B390" s="26"/>
      <c r="D390" s="18"/>
      <c r="E390" s="19"/>
      <c r="F390" s="19"/>
    </row>
    <row r="391">
      <c r="B391" s="26"/>
      <c r="D391" s="18"/>
      <c r="E391" s="19"/>
      <c r="F391" s="19"/>
    </row>
    <row r="392">
      <c r="B392" s="26"/>
      <c r="D392" s="18"/>
      <c r="E392" s="19"/>
      <c r="F392" s="19"/>
    </row>
    <row r="393">
      <c r="B393" s="26"/>
      <c r="D393" s="18"/>
      <c r="E393" s="19"/>
      <c r="F393" s="19"/>
    </row>
    <row r="394">
      <c r="B394" s="26"/>
      <c r="D394" s="18"/>
      <c r="E394" s="19"/>
      <c r="F394" s="19"/>
    </row>
    <row r="395">
      <c r="B395" s="26"/>
      <c r="D395" s="18"/>
      <c r="E395" s="19"/>
      <c r="F395" s="19"/>
    </row>
    <row r="396">
      <c r="B396" s="26"/>
      <c r="D396" s="18"/>
      <c r="E396" s="19"/>
      <c r="F396" s="19"/>
    </row>
    <row r="397">
      <c r="B397" s="26"/>
      <c r="D397" s="18"/>
      <c r="E397" s="19"/>
      <c r="F397" s="19"/>
    </row>
    <row r="398">
      <c r="B398" s="26"/>
      <c r="D398" s="18"/>
      <c r="E398" s="19"/>
      <c r="F398" s="19"/>
    </row>
    <row r="399">
      <c r="B399" s="26"/>
      <c r="D399" s="18"/>
      <c r="E399" s="19"/>
      <c r="F399" s="19"/>
    </row>
    <row r="400">
      <c r="B400" s="26"/>
      <c r="D400" s="18"/>
      <c r="E400" s="19"/>
      <c r="F400" s="19"/>
    </row>
    <row r="401">
      <c r="B401" s="26"/>
      <c r="D401" s="18"/>
      <c r="E401" s="19"/>
      <c r="F401" s="19"/>
    </row>
    <row r="402">
      <c r="B402" s="26"/>
      <c r="D402" s="18"/>
      <c r="E402" s="19"/>
      <c r="F402" s="19"/>
    </row>
    <row r="403">
      <c r="B403" s="26"/>
      <c r="D403" s="18"/>
      <c r="E403" s="19"/>
      <c r="F403" s="19"/>
    </row>
    <row r="404">
      <c r="B404" s="26"/>
      <c r="D404" s="18"/>
      <c r="E404" s="19"/>
      <c r="F404" s="19"/>
    </row>
    <row r="405">
      <c r="B405" s="26"/>
      <c r="D405" s="18"/>
      <c r="E405" s="19"/>
      <c r="F405" s="19"/>
    </row>
    <row r="406">
      <c r="B406" s="26"/>
      <c r="D406" s="18"/>
      <c r="E406" s="19"/>
      <c r="F406" s="19"/>
    </row>
    <row r="407">
      <c r="B407" s="26"/>
      <c r="D407" s="18"/>
      <c r="E407" s="19"/>
      <c r="F407" s="19"/>
    </row>
    <row r="408">
      <c r="B408" s="26"/>
      <c r="D408" s="18"/>
      <c r="E408" s="19"/>
      <c r="F408" s="19"/>
    </row>
    <row r="409">
      <c r="B409" s="26"/>
      <c r="D409" s="18"/>
      <c r="E409" s="19"/>
      <c r="F409" s="19"/>
    </row>
    <row r="410">
      <c r="B410" s="26"/>
      <c r="D410" s="18"/>
      <c r="E410" s="19"/>
      <c r="F410" s="19"/>
    </row>
    <row r="411">
      <c r="B411" s="26"/>
      <c r="D411" s="18"/>
      <c r="E411" s="19"/>
      <c r="F411" s="19"/>
    </row>
    <row r="412">
      <c r="B412" s="26"/>
      <c r="D412" s="18"/>
      <c r="E412" s="19"/>
      <c r="F412" s="19"/>
    </row>
    <row r="413">
      <c r="B413" s="26"/>
      <c r="D413" s="18"/>
      <c r="E413" s="19"/>
      <c r="F413" s="19"/>
    </row>
    <row r="414">
      <c r="B414" s="26"/>
      <c r="D414" s="18"/>
      <c r="E414" s="19"/>
      <c r="F414" s="19"/>
    </row>
    <row r="415">
      <c r="B415" s="26"/>
      <c r="D415" s="18"/>
      <c r="E415" s="19"/>
      <c r="F415" s="19"/>
    </row>
    <row r="416">
      <c r="B416" s="26"/>
      <c r="D416" s="18"/>
      <c r="E416" s="19"/>
      <c r="F416" s="19"/>
    </row>
    <row r="417">
      <c r="B417" s="26"/>
      <c r="D417" s="18"/>
      <c r="E417" s="19"/>
      <c r="F417" s="19"/>
    </row>
    <row r="418">
      <c r="B418" s="26"/>
      <c r="D418" s="18"/>
      <c r="E418" s="19"/>
      <c r="F418" s="19"/>
    </row>
    <row r="419">
      <c r="B419" s="26"/>
      <c r="D419" s="18"/>
      <c r="E419" s="19"/>
      <c r="F419" s="19"/>
    </row>
    <row r="420">
      <c r="B420" s="26"/>
      <c r="D420" s="18"/>
      <c r="E420" s="19"/>
      <c r="F420" s="19"/>
    </row>
    <row r="421">
      <c r="B421" s="26"/>
      <c r="D421" s="18"/>
      <c r="E421" s="19"/>
      <c r="F421" s="19"/>
    </row>
    <row r="422">
      <c r="B422" s="26"/>
      <c r="D422" s="18"/>
      <c r="E422" s="19"/>
      <c r="F422" s="19"/>
    </row>
    <row r="423">
      <c r="B423" s="26"/>
      <c r="D423" s="18"/>
      <c r="E423" s="19"/>
      <c r="F423" s="19"/>
    </row>
    <row r="424">
      <c r="B424" s="26"/>
      <c r="D424" s="18"/>
      <c r="E424" s="19"/>
      <c r="F424" s="19"/>
    </row>
    <row r="425">
      <c r="B425" s="26"/>
      <c r="D425" s="18"/>
      <c r="E425" s="19"/>
      <c r="F425" s="19"/>
    </row>
    <row r="426">
      <c r="B426" s="26"/>
      <c r="D426" s="18"/>
      <c r="E426" s="19"/>
      <c r="F426" s="19"/>
    </row>
    <row r="427">
      <c r="B427" s="26"/>
      <c r="D427" s="18"/>
      <c r="E427" s="19"/>
      <c r="F427" s="19"/>
    </row>
    <row r="428">
      <c r="B428" s="26"/>
      <c r="D428" s="18"/>
      <c r="E428" s="19"/>
      <c r="F428" s="19"/>
    </row>
    <row r="429">
      <c r="B429" s="26"/>
      <c r="D429" s="18"/>
      <c r="E429" s="19"/>
      <c r="F429" s="19"/>
    </row>
    <row r="430">
      <c r="B430" s="26"/>
      <c r="D430" s="18"/>
      <c r="E430" s="19"/>
      <c r="F430" s="19"/>
    </row>
    <row r="431">
      <c r="B431" s="26"/>
      <c r="D431" s="18"/>
      <c r="E431" s="19"/>
      <c r="F431" s="19"/>
    </row>
    <row r="432">
      <c r="B432" s="26"/>
      <c r="D432" s="18"/>
      <c r="E432" s="19"/>
      <c r="F432" s="19"/>
    </row>
    <row r="433">
      <c r="B433" s="26"/>
      <c r="D433" s="18"/>
      <c r="E433" s="19"/>
      <c r="F433" s="19"/>
    </row>
    <row r="434">
      <c r="B434" s="26"/>
      <c r="D434" s="18"/>
      <c r="E434" s="19"/>
      <c r="F434" s="19"/>
    </row>
    <row r="435">
      <c r="B435" s="26"/>
      <c r="D435" s="18"/>
      <c r="E435" s="19"/>
      <c r="F435" s="19"/>
    </row>
    <row r="436">
      <c r="B436" s="26"/>
      <c r="D436" s="18"/>
      <c r="E436" s="19"/>
      <c r="F436" s="19"/>
    </row>
    <row r="437">
      <c r="B437" s="26"/>
      <c r="D437" s="18"/>
      <c r="E437" s="19"/>
      <c r="F437" s="19"/>
    </row>
    <row r="438">
      <c r="B438" s="26"/>
      <c r="D438" s="18"/>
      <c r="E438" s="19"/>
      <c r="F438" s="19"/>
    </row>
    <row r="439">
      <c r="B439" s="26"/>
      <c r="D439" s="18"/>
      <c r="E439" s="19"/>
      <c r="F439" s="19"/>
    </row>
    <row r="440">
      <c r="B440" s="26"/>
      <c r="D440" s="18"/>
      <c r="E440" s="19"/>
      <c r="F440" s="19"/>
    </row>
    <row r="441">
      <c r="B441" s="26"/>
      <c r="D441" s="18"/>
      <c r="E441" s="19"/>
      <c r="F441" s="19"/>
    </row>
    <row r="442">
      <c r="B442" s="26"/>
      <c r="D442" s="18"/>
      <c r="E442" s="19"/>
      <c r="F442" s="19"/>
    </row>
    <row r="443">
      <c r="B443" s="26"/>
      <c r="D443" s="18"/>
      <c r="E443" s="19"/>
      <c r="F443" s="19"/>
    </row>
    <row r="444">
      <c r="B444" s="26"/>
      <c r="D444" s="18"/>
      <c r="E444" s="19"/>
      <c r="F444" s="19"/>
    </row>
    <row r="445">
      <c r="B445" s="26"/>
      <c r="D445" s="18"/>
      <c r="E445" s="19"/>
      <c r="F445" s="19"/>
    </row>
    <row r="446">
      <c r="B446" s="26"/>
      <c r="D446" s="18"/>
      <c r="E446" s="19"/>
      <c r="F446" s="19"/>
    </row>
    <row r="447">
      <c r="B447" s="26"/>
      <c r="D447" s="18"/>
      <c r="E447" s="19"/>
      <c r="F447" s="19"/>
    </row>
    <row r="448">
      <c r="B448" s="26"/>
      <c r="D448" s="18"/>
      <c r="E448" s="19"/>
      <c r="F448" s="19"/>
    </row>
    <row r="449">
      <c r="B449" s="26"/>
      <c r="D449" s="18"/>
      <c r="E449" s="19"/>
      <c r="F449" s="19"/>
    </row>
    <row r="450">
      <c r="B450" s="26"/>
      <c r="D450" s="18"/>
      <c r="E450" s="19"/>
      <c r="F450" s="19"/>
    </row>
    <row r="451">
      <c r="B451" s="26"/>
      <c r="D451" s="18"/>
      <c r="E451" s="19"/>
      <c r="F451" s="19"/>
    </row>
    <row r="452">
      <c r="B452" s="26"/>
      <c r="D452" s="18"/>
      <c r="E452" s="19"/>
      <c r="F452" s="19"/>
    </row>
    <row r="453">
      <c r="B453" s="26"/>
      <c r="D453" s="18"/>
      <c r="E453" s="19"/>
      <c r="F453" s="19"/>
    </row>
    <row r="454">
      <c r="B454" s="26"/>
      <c r="D454" s="18"/>
      <c r="E454" s="19"/>
      <c r="F454" s="19"/>
    </row>
    <row r="455">
      <c r="B455" s="26"/>
      <c r="D455" s="18"/>
      <c r="E455" s="19"/>
      <c r="F455" s="19"/>
    </row>
    <row r="456">
      <c r="B456" s="26"/>
      <c r="D456" s="18"/>
      <c r="E456" s="19"/>
      <c r="F456" s="19"/>
    </row>
    <row r="457">
      <c r="B457" s="26"/>
      <c r="D457" s="18"/>
      <c r="E457" s="19"/>
      <c r="F457" s="19"/>
    </row>
    <row r="458">
      <c r="B458" s="26"/>
      <c r="D458" s="18"/>
      <c r="E458" s="19"/>
      <c r="F458" s="19"/>
    </row>
    <row r="459">
      <c r="B459" s="26"/>
      <c r="D459" s="18"/>
      <c r="E459" s="19"/>
      <c r="F459" s="19"/>
    </row>
    <row r="460">
      <c r="B460" s="26"/>
      <c r="D460" s="18"/>
      <c r="E460" s="19"/>
      <c r="F460" s="19"/>
    </row>
    <row r="461">
      <c r="B461" s="26"/>
      <c r="D461" s="18"/>
      <c r="E461" s="19"/>
      <c r="F461" s="19"/>
    </row>
    <row r="462">
      <c r="B462" s="26"/>
      <c r="D462" s="18"/>
      <c r="E462" s="19"/>
      <c r="F462" s="19"/>
    </row>
    <row r="463">
      <c r="B463" s="26"/>
      <c r="D463" s="18"/>
      <c r="E463" s="19"/>
      <c r="F463" s="19"/>
    </row>
    <row r="464">
      <c r="B464" s="26"/>
      <c r="D464" s="18"/>
      <c r="E464" s="19"/>
      <c r="F464" s="19"/>
    </row>
    <row r="465">
      <c r="B465" s="26"/>
      <c r="D465" s="18"/>
      <c r="E465" s="19"/>
      <c r="F465" s="19"/>
    </row>
    <row r="466">
      <c r="B466" s="26"/>
      <c r="D466" s="18"/>
      <c r="E466" s="19"/>
      <c r="F466" s="19"/>
    </row>
    <row r="467">
      <c r="B467" s="26"/>
      <c r="D467" s="18"/>
      <c r="E467" s="19"/>
      <c r="F467" s="19"/>
    </row>
    <row r="468">
      <c r="B468" s="26"/>
      <c r="D468" s="18"/>
      <c r="E468" s="19"/>
      <c r="F468" s="19"/>
    </row>
    <row r="469">
      <c r="B469" s="26"/>
      <c r="D469" s="18"/>
      <c r="E469" s="19"/>
      <c r="F469" s="19"/>
    </row>
    <row r="470">
      <c r="B470" s="26"/>
      <c r="D470" s="18"/>
      <c r="E470" s="19"/>
      <c r="F470" s="19"/>
    </row>
    <row r="471">
      <c r="B471" s="26"/>
      <c r="D471" s="18"/>
      <c r="E471" s="19"/>
      <c r="F471" s="19"/>
    </row>
    <row r="472">
      <c r="B472" s="26"/>
      <c r="D472" s="18"/>
      <c r="E472" s="19"/>
      <c r="F472" s="19"/>
    </row>
    <row r="473">
      <c r="B473" s="26"/>
      <c r="D473" s="18"/>
      <c r="E473" s="19"/>
      <c r="F473" s="19"/>
    </row>
    <row r="474">
      <c r="B474" s="26"/>
      <c r="D474" s="18"/>
      <c r="E474" s="19"/>
      <c r="F474" s="19"/>
    </row>
    <row r="475">
      <c r="B475" s="26"/>
      <c r="D475" s="18"/>
      <c r="E475" s="19"/>
      <c r="F475" s="19"/>
    </row>
    <row r="476">
      <c r="B476" s="26"/>
      <c r="D476" s="18"/>
      <c r="E476" s="19"/>
      <c r="F476" s="19"/>
    </row>
    <row r="477">
      <c r="B477" s="26"/>
      <c r="D477" s="18"/>
      <c r="E477" s="19"/>
      <c r="F477" s="19"/>
    </row>
    <row r="478">
      <c r="B478" s="26"/>
      <c r="D478" s="18"/>
      <c r="E478" s="19"/>
      <c r="F478" s="19"/>
    </row>
    <row r="479">
      <c r="B479" s="26"/>
      <c r="D479" s="18"/>
      <c r="E479" s="19"/>
      <c r="F479" s="19"/>
    </row>
    <row r="480">
      <c r="B480" s="26"/>
      <c r="D480" s="18"/>
      <c r="E480" s="19"/>
      <c r="F480" s="19"/>
    </row>
    <row r="481">
      <c r="B481" s="26"/>
      <c r="D481" s="18"/>
      <c r="E481" s="19"/>
      <c r="F481" s="19"/>
    </row>
    <row r="482">
      <c r="B482" s="26"/>
      <c r="D482" s="18"/>
      <c r="E482" s="19"/>
      <c r="F482" s="19"/>
    </row>
    <row r="483">
      <c r="B483" s="26"/>
      <c r="D483" s="18"/>
      <c r="E483" s="19"/>
      <c r="F483" s="19"/>
    </row>
    <row r="484">
      <c r="B484" s="26"/>
      <c r="D484" s="18"/>
      <c r="E484" s="19"/>
      <c r="F484" s="19"/>
    </row>
    <row r="485">
      <c r="B485" s="26"/>
      <c r="D485" s="18"/>
      <c r="E485" s="19"/>
      <c r="F485" s="19"/>
    </row>
    <row r="486">
      <c r="B486" s="26"/>
      <c r="D486" s="18"/>
      <c r="E486" s="19"/>
      <c r="F486" s="19"/>
    </row>
    <row r="487">
      <c r="B487" s="26"/>
      <c r="D487" s="18"/>
      <c r="E487" s="19"/>
      <c r="F487" s="19"/>
    </row>
    <row r="488">
      <c r="B488" s="26"/>
      <c r="D488" s="18"/>
      <c r="E488" s="19"/>
      <c r="F488" s="19"/>
    </row>
    <row r="489">
      <c r="B489" s="26"/>
      <c r="D489" s="18"/>
      <c r="E489" s="19"/>
      <c r="F489" s="19"/>
    </row>
    <row r="490">
      <c r="B490" s="26"/>
      <c r="D490" s="18"/>
      <c r="E490" s="19"/>
      <c r="F490" s="19"/>
    </row>
    <row r="491">
      <c r="B491" s="26"/>
      <c r="D491" s="18"/>
      <c r="E491" s="19"/>
      <c r="F491" s="19"/>
    </row>
    <row r="492">
      <c r="B492" s="26"/>
      <c r="D492" s="18"/>
      <c r="E492" s="19"/>
      <c r="F492" s="19"/>
    </row>
    <row r="493">
      <c r="B493" s="26"/>
      <c r="D493" s="18"/>
      <c r="E493" s="19"/>
      <c r="F493" s="19"/>
    </row>
    <row r="494">
      <c r="B494" s="26"/>
      <c r="D494" s="18"/>
      <c r="E494" s="19"/>
      <c r="F494" s="19"/>
    </row>
    <row r="495">
      <c r="B495" s="26"/>
      <c r="D495" s="18"/>
      <c r="E495" s="19"/>
      <c r="F495" s="19"/>
    </row>
    <row r="496">
      <c r="B496" s="26"/>
      <c r="D496" s="18"/>
      <c r="E496" s="19"/>
      <c r="F496" s="19"/>
    </row>
    <row r="497">
      <c r="B497" s="26"/>
      <c r="D497" s="18"/>
      <c r="E497" s="19"/>
      <c r="F497" s="19"/>
    </row>
    <row r="498">
      <c r="B498" s="26"/>
      <c r="D498" s="18"/>
      <c r="E498" s="19"/>
      <c r="F498" s="19"/>
    </row>
    <row r="499">
      <c r="B499" s="26"/>
      <c r="D499" s="18"/>
      <c r="E499" s="19"/>
      <c r="F499" s="19"/>
    </row>
    <row r="500">
      <c r="B500" s="26"/>
      <c r="D500" s="18"/>
      <c r="E500" s="19"/>
      <c r="F500" s="19"/>
    </row>
    <row r="501">
      <c r="B501" s="26"/>
      <c r="D501" s="18"/>
      <c r="E501" s="19"/>
      <c r="F501" s="19"/>
    </row>
    <row r="502">
      <c r="B502" s="26"/>
      <c r="D502" s="18"/>
      <c r="E502" s="19"/>
      <c r="F502" s="19"/>
    </row>
    <row r="503">
      <c r="B503" s="26"/>
      <c r="D503" s="18"/>
      <c r="E503" s="19"/>
      <c r="F503" s="19"/>
    </row>
    <row r="504">
      <c r="B504" s="26"/>
      <c r="D504" s="18"/>
      <c r="E504" s="19"/>
      <c r="F504" s="19"/>
    </row>
    <row r="505">
      <c r="B505" s="26"/>
      <c r="D505" s="18"/>
      <c r="E505" s="19"/>
      <c r="F505" s="19"/>
    </row>
    <row r="506">
      <c r="B506" s="26"/>
      <c r="D506" s="18"/>
      <c r="E506" s="19"/>
      <c r="F506" s="19"/>
    </row>
    <row r="507">
      <c r="B507" s="26"/>
      <c r="D507" s="18"/>
      <c r="E507" s="19"/>
      <c r="F507" s="19"/>
    </row>
    <row r="508">
      <c r="B508" s="26"/>
      <c r="D508" s="18"/>
      <c r="E508" s="19"/>
      <c r="F508" s="19"/>
    </row>
    <row r="509">
      <c r="B509" s="26"/>
      <c r="D509" s="18"/>
      <c r="E509" s="19"/>
      <c r="F509" s="19"/>
    </row>
    <row r="510">
      <c r="B510" s="26"/>
      <c r="D510" s="18"/>
      <c r="E510" s="19"/>
      <c r="F510" s="19"/>
    </row>
    <row r="511">
      <c r="B511" s="26"/>
      <c r="D511" s="18"/>
      <c r="E511" s="19"/>
      <c r="F511" s="19"/>
    </row>
    <row r="512">
      <c r="B512" s="26"/>
      <c r="D512" s="18"/>
      <c r="E512" s="19"/>
      <c r="F512" s="19"/>
    </row>
    <row r="513">
      <c r="B513" s="26"/>
      <c r="D513" s="18"/>
      <c r="E513" s="19"/>
      <c r="F513" s="19"/>
    </row>
    <row r="514">
      <c r="B514" s="26"/>
      <c r="D514" s="18"/>
      <c r="E514" s="19"/>
      <c r="F514" s="19"/>
    </row>
    <row r="515">
      <c r="B515" s="26"/>
      <c r="D515" s="18"/>
      <c r="E515" s="19"/>
      <c r="F515" s="19"/>
    </row>
    <row r="516">
      <c r="B516" s="26"/>
      <c r="D516" s="18"/>
      <c r="E516" s="19"/>
      <c r="F516" s="19"/>
    </row>
    <row r="517">
      <c r="B517" s="26"/>
      <c r="D517" s="18"/>
      <c r="E517" s="19"/>
      <c r="F517" s="19"/>
    </row>
    <row r="518">
      <c r="B518" s="26"/>
      <c r="D518" s="18"/>
      <c r="E518" s="19"/>
      <c r="F518" s="19"/>
    </row>
    <row r="519">
      <c r="B519" s="26"/>
      <c r="D519" s="18"/>
      <c r="E519" s="19"/>
      <c r="F519" s="19"/>
    </row>
    <row r="520">
      <c r="B520" s="26"/>
      <c r="D520" s="18"/>
      <c r="E520" s="19"/>
      <c r="F520" s="19"/>
    </row>
    <row r="521">
      <c r="B521" s="26"/>
      <c r="D521" s="18"/>
      <c r="E521" s="19"/>
      <c r="F521" s="19"/>
    </row>
    <row r="522">
      <c r="B522" s="26"/>
      <c r="D522" s="18"/>
      <c r="E522" s="19"/>
      <c r="F522" s="19"/>
    </row>
    <row r="523">
      <c r="B523" s="26"/>
      <c r="D523" s="18"/>
      <c r="E523" s="19"/>
      <c r="F523" s="19"/>
    </row>
    <row r="524">
      <c r="B524" s="26"/>
      <c r="D524" s="18"/>
      <c r="E524" s="19"/>
      <c r="F524" s="19"/>
    </row>
    <row r="525">
      <c r="B525" s="26"/>
      <c r="D525" s="18"/>
      <c r="E525" s="19"/>
      <c r="F525" s="19"/>
    </row>
    <row r="526">
      <c r="B526" s="26"/>
      <c r="D526" s="18"/>
      <c r="E526" s="19"/>
      <c r="F526" s="19"/>
    </row>
    <row r="527">
      <c r="B527" s="26"/>
      <c r="D527" s="18"/>
      <c r="E527" s="19"/>
      <c r="F527" s="19"/>
    </row>
    <row r="528">
      <c r="B528" s="26"/>
      <c r="D528" s="18"/>
      <c r="E528" s="19"/>
      <c r="F528" s="19"/>
    </row>
    <row r="529">
      <c r="B529" s="26"/>
      <c r="D529" s="18"/>
      <c r="E529" s="19"/>
      <c r="F529" s="19"/>
    </row>
    <row r="530">
      <c r="B530" s="26"/>
      <c r="D530" s="18"/>
      <c r="E530" s="19"/>
      <c r="F530" s="19"/>
    </row>
    <row r="531">
      <c r="B531" s="26"/>
      <c r="D531" s="18"/>
      <c r="E531" s="19"/>
      <c r="F531" s="19"/>
    </row>
    <row r="532">
      <c r="B532" s="26"/>
      <c r="D532" s="18"/>
      <c r="E532" s="19"/>
      <c r="F532" s="19"/>
    </row>
    <row r="533">
      <c r="B533" s="26"/>
      <c r="D533" s="18"/>
      <c r="E533" s="19"/>
      <c r="F533" s="19"/>
    </row>
    <row r="534">
      <c r="B534" s="26"/>
      <c r="D534" s="18"/>
      <c r="E534" s="19"/>
      <c r="F534" s="19"/>
    </row>
    <row r="535">
      <c r="B535" s="26"/>
      <c r="D535" s="18"/>
      <c r="E535" s="19"/>
      <c r="F535" s="19"/>
    </row>
    <row r="536">
      <c r="B536" s="26"/>
      <c r="D536" s="18"/>
      <c r="E536" s="19"/>
      <c r="F536" s="19"/>
    </row>
    <row r="537">
      <c r="B537" s="26"/>
      <c r="D537" s="18"/>
      <c r="E537" s="19"/>
      <c r="F537" s="19"/>
    </row>
    <row r="538">
      <c r="B538" s="26"/>
      <c r="D538" s="18"/>
      <c r="E538" s="19"/>
      <c r="F538" s="19"/>
    </row>
    <row r="539">
      <c r="B539" s="26"/>
      <c r="D539" s="18"/>
      <c r="E539" s="19"/>
      <c r="F539" s="19"/>
    </row>
    <row r="540">
      <c r="B540" s="26"/>
      <c r="D540" s="18"/>
      <c r="E540" s="19"/>
      <c r="F540" s="19"/>
    </row>
    <row r="541">
      <c r="B541" s="26"/>
      <c r="D541" s="18"/>
      <c r="E541" s="19"/>
      <c r="F541" s="19"/>
    </row>
    <row r="542">
      <c r="B542" s="26"/>
      <c r="D542" s="18"/>
      <c r="E542" s="19"/>
      <c r="F542" s="19"/>
    </row>
    <row r="543">
      <c r="B543" s="26"/>
      <c r="D543" s="18"/>
      <c r="E543" s="19"/>
      <c r="F543" s="19"/>
    </row>
    <row r="544">
      <c r="B544" s="26"/>
      <c r="D544" s="18"/>
      <c r="E544" s="19"/>
      <c r="F544" s="19"/>
    </row>
    <row r="545">
      <c r="B545" s="26"/>
      <c r="D545" s="18"/>
      <c r="E545" s="19"/>
      <c r="F545" s="19"/>
    </row>
    <row r="546">
      <c r="B546" s="26"/>
      <c r="D546" s="18"/>
      <c r="E546" s="19"/>
      <c r="F546" s="19"/>
    </row>
    <row r="547">
      <c r="B547" s="26"/>
      <c r="D547" s="18"/>
      <c r="E547" s="19"/>
      <c r="F547" s="19"/>
    </row>
    <row r="548">
      <c r="B548" s="26"/>
      <c r="D548" s="18"/>
      <c r="E548" s="19"/>
      <c r="F548" s="19"/>
    </row>
    <row r="549">
      <c r="B549" s="26"/>
      <c r="D549" s="18"/>
      <c r="E549" s="19"/>
      <c r="F549" s="19"/>
    </row>
    <row r="550">
      <c r="B550" s="26"/>
      <c r="D550" s="18"/>
      <c r="E550" s="19"/>
      <c r="F550" s="19"/>
    </row>
    <row r="551">
      <c r="B551" s="26"/>
      <c r="D551" s="18"/>
      <c r="E551" s="19"/>
      <c r="F551" s="19"/>
    </row>
    <row r="552">
      <c r="B552" s="26"/>
      <c r="D552" s="18"/>
      <c r="E552" s="19"/>
      <c r="F552" s="19"/>
    </row>
    <row r="553">
      <c r="B553" s="26"/>
      <c r="D553" s="18"/>
      <c r="E553" s="19"/>
      <c r="F553" s="19"/>
    </row>
    <row r="554">
      <c r="B554" s="26"/>
      <c r="D554" s="18"/>
      <c r="E554" s="19"/>
      <c r="F554" s="19"/>
    </row>
    <row r="555">
      <c r="B555" s="26"/>
      <c r="D555" s="18"/>
      <c r="E555" s="19"/>
      <c r="F555" s="19"/>
    </row>
    <row r="556">
      <c r="B556" s="26"/>
      <c r="D556" s="18"/>
      <c r="E556" s="19"/>
      <c r="F556" s="19"/>
    </row>
    <row r="557">
      <c r="B557" s="26"/>
      <c r="D557" s="18"/>
      <c r="E557" s="19"/>
      <c r="F557" s="19"/>
    </row>
    <row r="558">
      <c r="B558" s="26"/>
      <c r="D558" s="18"/>
      <c r="E558" s="19"/>
      <c r="F558" s="19"/>
    </row>
    <row r="559">
      <c r="B559" s="26"/>
      <c r="D559" s="18"/>
      <c r="E559" s="19"/>
      <c r="F559" s="19"/>
    </row>
    <row r="560">
      <c r="B560" s="26"/>
      <c r="D560" s="18"/>
      <c r="E560" s="19"/>
      <c r="F560" s="19"/>
    </row>
    <row r="561">
      <c r="B561" s="26"/>
      <c r="D561" s="18"/>
      <c r="E561" s="19"/>
      <c r="F561" s="19"/>
    </row>
    <row r="562">
      <c r="B562" s="26"/>
      <c r="D562" s="18"/>
      <c r="E562" s="19"/>
      <c r="F562" s="19"/>
    </row>
    <row r="563">
      <c r="B563" s="26"/>
      <c r="D563" s="18"/>
      <c r="E563" s="19"/>
      <c r="F563" s="19"/>
    </row>
    <row r="564">
      <c r="B564" s="26"/>
      <c r="D564" s="18"/>
      <c r="E564" s="19"/>
      <c r="F564" s="19"/>
    </row>
    <row r="565">
      <c r="B565" s="26"/>
      <c r="D565" s="18"/>
      <c r="E565" s="19"/>
      <c r="F565" s="19"/>
    </row>
    <row r="566">
      <c r="B566" s="26"/>
      <c r="D566" s="18"/>
      <c r="E566" s="19"/>
      <c r="F566" s="19"/>
    </row>
    <row r="567">
      <c r="B567" s="26"/>
      <c r="D567" s="18"/>
      <c r="E567" s="19"/>
      <c r="F567" s="19"/>
    </row>
    <row r="568">
      <c r="B568" s="26"/>
      <c r="D568" s="18"/>
      <c r="E568" s="19"/>
      <c r="F568" s="19"/>
    </row>
    <row r="569">
      <c r="B569" s="26"/>
      <c r="D569" s="18"/>
      <c r="E569" s="19"/>
      <c r="F569" s="19"/>
    </row>
    <row r="570">
      <c r="B570" s="26"/>
      <c r="D570" s="18"/>
      <c r="E570" s="19"/>
      <c r="F570" s="19"/>
    </row>
    <row r="571">
      <c r="B571" s="26"/>
      <c r="D571" s="18"/>
      <c r="E571" s="19"/>
      <c r="F571" s="19"/>
    </row>
    <row r="572">
      <c r="B572" s="26"/>
      <c r="D572" s="18"/>
      <c r="E572" s="19"/>
      <c r="F572" s="19"/>
    </row>
    <row r="573">
      <c r="B573" s="26"/>
      <c r="D573" s="18"/>
      <c r="E573" s="19"/>
      <c r="F573" s="19"/>
    </row>
    <row r="574">
      <c r="B574" s="26"/>
      <c r="D574" s="18"/>
      <c r="E574" s="19"/>
      <c r="F574" s="19"/>
    </row>
    <row r="575">
      <c r="B575" s="26"/>
      <c r="D575" s="18"/>
      <c r="E575" s="19"/>
      <c r="F575" s="19"/>
    </row>
    <row r="576">
      <c r="B576" s="26"/>
      <c r="D576" s="18"/>
      <c r="E576" s="19"/>
      <c r="F576" s="19"/>
    </row>
    <row r="577">
      <c r="B577" s="26"/>
      <c r="D577" s="18"/>
      <c r="E577" s="19"/>
      <c r="F577" s="19"/>
    </row>
    <row r="578">
      <c r="B578" s="26"/>
      <c r="D578" s="18"/>
      <c r="E578" s="19"/>
      <c r="F578" s="19"/>
    </row>
    <row r="579">
      <c r="B579" s="26"/>
      <c r="D579" s="18"/>
      <c r="E579" s="19"/>
      <c r="F579" s="19"/>
    </row>
    <row r="580">
      <c r="B580" s="26"/>
      <c r="D580" s="18"/>
      <c r="E580" s="19"/>
      <c r="F580" s="19"/>
    </row>
    <row r="581">
      <c r="B581" s="26"/>
      <c r="D581" s="18"/>
      <c r="E581" s="19"/>
      <c r="F581" s="19"/>
    </row>
    <row r="582">
      <c r="B582" s="26"/>
      <c r="D582" s="18"/>
      <c r="E582" s="19"/>
      <c r="F582" s="19"/>
    </row>
    <row r="583">
      <c r="B583" s="26"/>
      <c r="D583" s="18"/>
      <c r="E583" s="19"/>
      <c r="F583" s="19"/>
    </row>
    <row r="584">
      <c r="B584" s="26"/>
      <c r="D584" s="18"/>
      <c r="E584" s="19"/>
      <c r="F584" s="19"/>
    </row>
    <row r="585">
      <c r="B585" s="26"/>
      <c r="D585" s="18"/>
      <c r="E585" s="19"/>
      <c r="F585" s="19"/>
    </row>
    <row r="586">
      <c r="B586" s="26"/>
      <c r="D586" s="18"/>
      <c r="E586" s="19"/>
      <c r="F586" s="19"/>
    </row>
    <row r="587">
      <c r="B587" s="26"/>
      <c r="D587" s="18"/>
      <c r="E587" s="19"/>
      <c r="F587" s="19"/>
    </row>
    <row r="588">
      <c r="B588" s="26"/>
      <c r="D588" s="18"/>
      <c r="E588" s="19"/>
      <c r="F588" s="19"/>
    </row>
    <row r="589">
      <c r="B589" s="26"/>
      <c r="D589" s="18"/>
      <c r="E589" s="19"/>
      <c r="F589" s="19"/>
    </row>
    <row r="590">
      <c r="B590" s="26"/>
      <c r="D590" s="18"/>
      <c r="E590" s="19"/>
      <c r="F590" s="19"/>
    </row>
    <row r="591">
      <c r="B591" s="26"/>
      <c r="D591" s="18"/>
      <c r="E591" s="19"/>
      <c r="F591" s="19"/>
    </row>
    <row r="592">
      <c r="B592" s="26"/>
      <c r="D592" s="18"/>
      <c r="E592" s="19"/>
      <c r="F592" s="19"/>
    </row>
    <row r="593">
      <c r="B593" s="26"/>
      <c r="D593" s="18"/>
      <c r="E593" s="19"/>
      <c r="F593" s="19"/>
    </row>
    <row r="594">
      <c r="B594" s="26"/>
      <c r="D594" s="18"/>
      <c r="E594" s="19"/>
      <c r="F594" s="19"/>
    </row>
    <row r="595">
      <c r="B595" s="26"/>
      <c r="D595" s="18"/>
      <c r="E595" s="19"/>
      <c r="F595" s="19"/>
    </row>
    <row r="596">
      <c r="B596" s="26"/>
      <c r="D596" s="18"/>
      <c r="E596" s="19"/>
      <c r="F596" s="19"/>
    </row>
    <row r="597">
      <c r="B597" s="26"/>
      <c r="D597" s="18"/>
      <c r="E597" s="19"/>
      <c r="F597" s="19"/>
    </row>
    <row r="598">
      <c r="B598" s="26"/>
      <c r="D598" s="18"/>
      <c r="E598" s="19"/>
      <c r="F598" s="19"/>
    </row>
    <row r="599">
      <c r="B599" s="26"/>
      <c r="D599" s="18"/>
      <c r="E599" s="19"/>
      <c r="F599" s="19"/>
    </row>
    <row r="600">
      <c r="B600" s="26"/>
      <c r="D600" s="18"/>
      <c r="E600" s="19"/>
      <c r="F600" s="19"/>
    </row>
    <row r="601">
      <c r="B601" s="26"/>
      <c r="D601" s="18"/>
      <c r="E601" s="19"/>
      <c r="F601" s="19"/>
    </row>
    <row r="602">
      <c r="B602" s="26"/>
      <c r="D602" s="18"/>
      <c r="E602" s="19"/>
      <c r="F602" s="19"/>
    </row>
    <row r="603">
      <c r="B603" s="26"/>
      <c r="D603" s="18"/>
      <c r="E603" s="19"/>
      <c r="F603" s="19"/>
    </row>
    <row r="604">
      <c r="B604" s="26"/>
      <c r="D604" s="18"/>
      <c r="E604" s="19"/>
      <c r="F604" s="19"/>
    </row>
    <row r="605">
      <c r="B605" s="26"/>
      <c r="D605" s="18"/>
      <c r="E605" s="19"/>
      <c r="F605" s="19"/>
    </row>
    <row r="606">
      <c r="B606" s="26"/>
      <c r="D606" s="18"/>
      <c r="E606" s="19"/>
      <c r="F606" s="19"/>
    </row>
    <row r="607">
      <c r="B607" s="26"/>
      <c r="D607" s="18"/>
      <c r="E607" s="19"/>
      <c r="F607" s="19"/>
    </row>
    <row r="608">
      <c r="B608" s="26"/>
      <c r="D608" s="18"/>
      <c r="E608" s="19"/>
      <c r="F608" s="19"/>
    </row>
    <row r="609">
      <c r="B609" s="26"/>
      <c r="D609" s="18"/>
      <c r="E609" s="19"/>
      <c r="F609" s="19"/>
    </row>
    <row r="610">
      <c r="B610" s="26"/>
      <c r="D610" s="18"/>
      <c r="E610" s="19"/>
      <c r="F610" s="19"/>
    </row>
    <row r="611">
      <c r="B611" s="26"/>
      <c r="D611" s="18"/>
      <c r="E611" s="19"/>
      <c r="F611" s="19"/>
    </row>
    <row r="612">
      <c r="B612" s="26"/>
      <c r="D612" s="18"/>
      <c r="E612" s="19"/>
      <c r="F612" s="19"/>
    </row>
    <row r="613">
      <c r="B613" s="26"/>
      <c r="D613" s="18"/>
      <c r="E613" s="19"/>
      <c r="F613" s="19"/>
    </row>
    <row r="614">
      <c r="B614" s="26"/>
      <c r="D614" s="18"/>
      <c r="E614" s="19"/>
      <c r="F614" s="19"/>
    </row>
    <row r="615">
      <c r="B615" s="26"/>
      <c r="D615" s="18"/>
      <c r="E615" s="19"/>
      <c r="F615" s="19"/>
    </row>
    <row r="616">
      <c r="B616" s="26"/>
      <c r="D616" s="18"/>
      <c r="E616" s="19"/>
      <c r="F616" s="19"/>
    </row>
    <row r="617">
      <c r="B617" s="26"/>
      <c r="D617" s="18"/>
      <c r="E617" s="19"/>
      <c r="F617" s="19"/>
    </row>
    <row r="618">
      <c r="B618" s="26"/>
      <c r="D618" s="18"/>
      <c r="E618" s="19"/>
      <c r="F618" s="19"/>
    </row>
    <row r="619">
      <c r="B619" s="26"/>
      <c r="D619" s="18"/>
      <c r="E619" s="19"/>
      <c r="F619" s="19"/>
    </row>
    <row r="620">
      <c r="B620" s="26"/>
      <c r="D620" s="18"/>
      <c r="E620" s="19"/>
      <c r="F620" s="19"/>
    </row>
    <row r="621">
      <c r="B621" s="26"/>
      <c r="D621" s="18"/>
      <c r="E621" s="19"/>
      <c r="F621" s="19"/>
    </row>
    <row r="622">
      <c r="B622" s="26"/>
      <c r="D622" s="18"/>
      <c r="E622" s="19"/>
      <c r="F622" s="19"/>
    </row>
    <row r="623">
      <c r="B623" s="26"/>
      <c r="D623" s="18"/>
      <c r="E623" s="19"/>
      <c r="F623" s="19"/>
    </row>
    <row r="624">
      <c r="B624" s="26"/>
      <c r="D624" s="18"/>
      <c r="E624" s="19"/>
      <c r="F624" s="19"/>
    </row>
    <row r="625">
      <c r="B625" s="26"/>
      <c r="D625" s="18"/>
      <c r="E625" s="19"/>
      <c r="F625" s="19"/>
    </row>
    <row r="626">
      <c r="B626" s="26"/>
      <c r="D626" s="18"/>
      <c r="E626" s="19"/>
      <c r="F626" s="19"/>
    </row>
    <row r="627">
      <c r="B627" s="26"/>
      <c r="D627" s="18"/>
      <c r="E627" s="19"/>
      <c r="F627" s="19"/>
    </row>
    <row r="628">
      <c r="B628" s="26"/>
      <c r="D628" s="18"/>
      <c r="E628" s="19"/>
      <c r="F628" s="19"/>
    </row>
    <row r="629">
      <c r="B629" s="26"/>
      <c r="D629" s="18"/>
      <c r="E629" s="19"/>
      <c r="F629" s="19"/>
    </row>
    <row r="630">
      <c r="B630" s="26"/>
      <c r="D630" s="18"/>
      <c r="E630" s="19"/>
      <c r="F630" s="19"/>
    </row>
    <row r="631">
      <c r="B631" s="26"/>
      <c r="D631" s="18"/>
      <c r="E631" s="19"/>
      <c r="F631" s="19"/>
    </row>
    <row r="632">
      <c r="B632" s="26"/>
      <c r="D632" s="18"/>
      <c r="E632" s="19"/>
      <c r="F632" s="19"/>
    </row>
    <row r="633">
      <c r="B633" s="26"/>
      <c r="D633" s="18"/>
      <c r="E633" s="19"/>
      <c r="F633" s="19"/>
    </row>
    <row r="634">
      <c r="B634" s="26"/>
      <c r="D634" s="18"/>
      <c r="E634" s="19"/>
      <c r="F634" s="19"/>
    </row>
    <row r="635">
      <c r="B635" s="26"/>
      <c r="D635" s="18"/>
      <c r="E635" s="19"/>
      <c r="F635" s="19"/>
    </row>
    <row r="636">
      <c r="B636" s="26"/>
      <c r="D636" s="18"/>
      <c r="E636" s="19"/>
      <c r="F636" s="19"/>
    </row>
    <row r="637">
      <c r="B637" s="26"/>
      <c r="D637" s="18"/>
      <c r="E637" s="19"/>
      <c r="F637" s="19"/>
    </row>
    <row r="638">
      <c r="B638" s="26"/>
      <c r="D638" s="18"/>
      <c r="E638" s="19"/>
      <c r="F638" s="19"/>
    </row>
    <row r="639">
      <c r="B639" s="26"/>
      <c r="D639" s="18"/>
      <c r="E639" s="19"/>
      <c r="F639" s="19"/>
    </row>
    <row r="640">
      <c r="B640" s="26"/>
      <c r="D640" s="18"/>
      <c r="E640" s="19"/>
      <c r="F640" s="19"/>
    </row>
    <row r="641">
      <c r="B641" s="26"/>
      <c r="D641" s="18"/>
      <c r="E641" s="19"/>
      <c r="F641" s="19"/>
    </row>
    <row r="642">
      <c r="B642" s="26"/>
      <c r="D642" s="18"/>
      <c r="E642" s="19"/>
      <c r="F642" s="19"/>
    </row>
    <row r="643">
      <c r="B643" s="26"/>
      <c r="D643" s="18"/>
      <c r="E643" s="19"/>
      <c r="F643" s="19"/>
    </row>
    <row r="644">
      <c r="B644" s="26"/>
      <c r="D644" s="18"/>
      <c r="E644" s="19"/>
      <c r="F644" s="19"/>
    </row>
    <row r="645">
      <c r="B645" s="26"/>
      <c r="D645" s="18"/>
      <c r="E645" s="19"/>
      <c r="F645" s="19"/>
    </row>
    <row r="646">
      <c r="B646" s="26"/>
      <c r="D646" s="18"/>
      <c r="E646" s="19"/>
      <c r="F646" s="19"/>
    </row>
    <row r="647">
      <c r="B647" s="26"/>
      <c r="D647" s="18"/>
      <c r="E647" s="19"/>
      <c r="F647" s="19"/>
    </row>
    <row r="648">
      <c r="B648" s="26"/>
      <c r="D648" s="18"/>
      <c r="E648" s="19"/>
      <c r="F648" s="19"/>
    </row>
    <row r="649">
      <c r="B649" s="26"/>
      <c r="D649" s="18"/>
      <c r="E649" s="19"/>
      <c r="F649" s="19"/>
    </row>
    <row r="650">
      <c r="B650" s="26"/>
      <c r="D650" s="18"/>
      <c r="E650" s="19"/>
      <c r="F650" s="19"/>
    </row>
    <row r="651">
      <c r="B651" s="26"/>
      <c r="D651" s="18"/>
      <c r="E651" s="19"/>
      <c r="F651" s="19"/>
    </row>
    <row r="652">
      <c r="B652" s="26"/>
      <c r="D652" s="18"/>
      <c r="E652" s="19"/>
      <c r="F652" s="19"/>
    </row>
    <row r="653">
      <c r="B653" s="26"/>
      <c r="D653" s="18"/>
      <c r="E653" s="19"/>
      <c r="F653" s="19"/>
    </row>
    <row r="654">
      <c r="B654" s="26"/>
      <c r="D654" s="18"/>
      <c r="E654" s="19"/>
      <c r="F654" s="19"/>
    </row>
    <row r="655">
      <c r="B655" s="26"/>
      <c r="D655" s="18"/>
      <c r="E655" s="19"/>
      <c r="F655" s="19"/>
    </row>
    <row r="656">
      <c r="B656" s="26"/>
      <c r="D656" s="18"/>
      <c r="E656" s="19"/>
      <c r="F656" s="19"/>
    </row>
    <row r="657">
      <c r="B657" s="26"/>
      <c r="D657" s="18"/>
      <c r="E657" s="19"/>
      <c r="F657" s="19"/>
    </row>
    <row r="658">
      <c r="B658" s="26"/>
      <c r="D658" s="18"/>
      <c r="E658" s="19"/>
      <c r="F658" s="19"/>
    </row>
    <row r="659">
      <c r="B659" s="26"/>
      <c r="D659" s="18"/>
      <c r="E659" s="19"/>
      <c r="F659" s="19"/>
    </row>
    <row r="660">
      <c r="B660" s="26"/>
      <c r="D660" s="18"/>
      <c r="E660" s="19"/>
      <c r="F660" s="19"/>
    </row>
    <row r="661">
      <c r="B661" s="26"/>
      <c r="D661" s="18"/>
      <c r="E661" s="19"/>
      <c r="F661" s="19"/>
    </row>
    <row r="662">
      <c r="B662" s="26"/>
      <c r="D662" s="18"/>
      <c r="E662" s="19"/>
      <c r="F662" s="19"/>
    </row>
    <row r="663">
      <c r="B663" s="26"/>
      <c r="D663" s="18"/>
      <c r="E663" s="19"/>
      <c r="F663" s="19"/>
    </row>
    <row r="664">
      <c r="B664" s="26"/>
      <c r="D664" s="18"/>
      <c r="E664" s="19"/>
      <c r="F664" s="19"/>
    </row>
    <row r="665">
      <c r="B665" s="26"/>
      <c r="D665" s="18"/>
      <c r="E665" s="19"/>
      <c r="F665" s="19"/>
    </row>
    <row r="666">
      <c r="B666" s="26"/>
      <c r="D666" s="18"/>
      <c r="E666" s="19"/>
      <c r="F666" s="19"/>
    </row>
    <row r="667">
      <c r="B667" s="26"/>
      <c r="D667" s="18"/>
      <c r="E667" s="19"/>
      <c r="F667" s="19"/>
    </row>
    <row r="668">
      <c r="B668" s="26"/>
      <c r="D668" s="18"/>
      <c r="E668" s="19"/>
      <c r="F668" s="19"/>
    </row>
    <row r="669">
      <c r="B669" s="26"/>
      <c r="D669" s="18"/>
      <c r="E669" s="19"/>
      <c r="F669" s="19"/>
    </row>
    <row r="670">
      <c r="B670" s="26"/>
      <c r="D670" s="18"/>
      <c r="E670" s="19"/>
      <c r="F670" s="19"/>
    </row>
    <row r="671">
      <c r="B671" s="26"/>
      <c r="D671" s="18"/>
      <c r="E671" s="19"/>
      <c r="F671" s="19"/>
    </row>
    <row r="672">
      <c r="B672" s="26"/>
      <c r="D672" s="18"/>
      <c r="E672" s="19"/>
      <c r="F672" s="19"/>
    </row>
    <row r="673">
      <c r="B673" s="26"/>
      <c r="D673" s="18"/>
      <c r="E673" s="19"/>
      <c r="F673" s="19"/>
    </row>
    <row r="674">
      <c r="B674" s="26"/>
      <c r="D674" s="18"/>
      <c r="E674" s="19"/>
      <c r="F674" s="19"/>
    </row>
    <row r="675">
      <c r="B675" s="26"/>
      <c r="D675" s="18"/>
      <c r="E675" s="19"/>
      <c r="F675" s="19"/>
    </row>
    <row r="676">
      <c r="B676" s="26"/>
      <c r="D676" s="18"/>
      <c r="E676" s="19"/>
      <c r="F676" s="19"/>
    </row>
    <row r="677">
      <c r="B677" s="26"/>
      <c r="D677" s="18"/>
      <c r="E677" s="19"/>
      <c r="F677" s="19"/>
    </row>
    <row r="678">
      <c r="B678" s="26"/>
      <c r="D678" s="18"/>
      <c r="E678" s="19"/>
      <c r="F678" s="19"/>
    </row>
    <row r="679">
      <c r="B679" s="26"/>
      <c r="D679" s="18"/>
      <c r="E679" s="19"/>
      <c r="F679" s="19"/>
    </row>
    <row r="680">
      <c r="B680" s="26"/>
      <c r="D680" s="18"/>
      <c r="E680" s="19"/>
      <c r="F680" s="19"/>
    </row>
    <row r="681">
      <c r="B681" s="26"/>
      <c r="D681" s="18"/>
      <c r="E681" s="19"/>
      <c r="F681" s="19"/>
    </row>
    <row r="682">
      <c r="B682" s="26"/>
      <c r="D682" s="18"/>
      <c r="E682" s="19"/>
      <c r="F682" s="19"/>
    </row>
    <row r="683">
      <c r="B683" s="26"/>
      <c r="D683" s="18"/>
      <c r="E683" s="19"/>
      <c r="F683" s="19"/>
    </row>
    <row r="684">
      <c r="B684" s="26"/>
      <c r="D684" s="18"/>
      <c r="E684" s="19"/>
      <c r="F684" s="19"/>
    </row>
    <row r="685">
      <c r="B685" s="26"/>
      <c r="D685" s="18"/>
      <c r="E685" s="19"/>
      <c r="F685" s="19"/>
    </row>
    <row r="686">
      <c r="B686" s="26"/>
      <c r="D686" s="18"/>
      <c r="E686" s="19"/>
      <c r="F686" s="19"/>
    </row>
    <row r="687">
      <c r="B687" s="26"/>
      <c r="D687" s="18"/>
      <c r="E687" s="19"/>
      <c r="F687" s="19"/>
    </row>
    <row r="688">
      <c r="B688" s="26"/>
      <c r="D688" s="18"/>
      <c r="E688" s="19"/>
      <c r="F688" s="19"/>
    </row>
    <row r="689">
      <c r="B689" s="26"/>
      <c r="D689" s="18"/>
      <c r="E689" s="19"/>
      <c r="F689" s="19"/>
    </row>
    <row r="690">
      <c r="B690" s="26"/>
      <c r="D690" s="18"/>
      <c r="E690" s="19"/>
      <c r="F690" s="19"/>
    </row>
    <row r="691">
      <c r="B691" s="26"/>
      <c r="D691" s="18"/>
      <c r="E691" s="19"/>
      <c r="F691" s="19"/>
    </row>
    <row r="692">
      <c r="B692" s="26"/>
      <c r="D692" s="18"/>
      <c r="E692" s="19"/>
      <c r="F692" s="19"/>
    </row>
    <row r="693">
      <c r="B693" s="26"/>
      <c r="D693" s="18"/>
      <c r="E693" s="19"/>
      <c r="F693" s="19"/>
    </row>
    <row r="694">
      <c r="B694" s="26"/>
      <c r="D694" s="18"/>
      <c r="E694" s="19"/>
      <c r="F694" s="19"/>
    </row>
    <row r="695">
      <c r="B695" s="26"/>
      <c r="D695" s="18"/>
      <c r="E695" s="19"/>
      <c r="F695" s="19"/>
    </row>
    <row r="696">
      <c r="B696" s="26"/>
      <c r="D696" s="18"/>
      <c r="E696" s="19"/>
      <c r="F696" s="19"/>
    </row>
    <row r="697">
      <c r="B697" s="26"/>
      <c r="D697" s="18"/>
      <c r="E697" s="19"/>
      <c r="F697" s="19"/>
    </row>
    <row r="698">
      <c r="B698" s="26"/>
      <c r="D698" s="18"/>
      <c r="E698" s="19"/>
      <c r="F698" s="19"/>
    </row>
    <row r="699">
      <c r="B699" s="26"/>
      <c r="D699" s="18"/>
      <c r="E699" s="19"/>
      <c r="F699" s="19"/>
    </row>
    <row r="700">
      <c r="B700" s="26"/>
      <c r="D700" s="18"/>
      <c r="E700" s="19"/>
      <c r="F700" s="19"/>
    </row>
    <row r="701">
      <c r="B701" s="26"/>
      <c r="D701" s="18"/>
      <c r="E701" s="19"/>
      <c r="F701" s="19"/>
    </row>
    <row r="702">
      <c r="B702" s="26"/>
      <c r="D702" s="18"/>
      <c r="E702" s="19"/>
      <c r="F702" s="19"/>
    </row>
    <row r="703">
      <c r="B703" s="26"/>
      <c r="D703" s="18"/>
      <c r="E703" s="19"/>
      <c r="F703" s="19"/>
    </row>
    <row r="704">
      <c r="B704" s="26"/>
      <c r="D704" s="18"/>
      <c r="E704" s="19"/>
      <c r="F704" s="19"/>
    </row>
    <row r="705">
      <c r="B705" s="26"/>
      <c r="D705" s="18"/>
      <c r="E705" s="19"/>
      <c r="F705" s="19"/>
    </row>
    <row r="706">
      <c r="B706" s="26"/>
      <c r="D706" s="18"/>
      <c r="E706" s="19"/>
      <c r="F706" s="19"/>
    </row>
    <row r="707">
      <c r="B707" s="26"/>
      <c r="D707" s="18"/>
      <c r="E707" s="19"/>
      <c r="F707" s="19"/>
    </row>
    <row r="708">
      <c r="B708" s="26"/>
      <c r="D708" s="18"/>
      <c r="E708" s="19"/>
      <c r="F708" s="19"/>
    </row>
    <row r="709">
      <c r="B709" s="26"/>
      <c r="D709" s="18"/>
      <c r="E709" s="19"/>
      <c r="F709" s="19"/>
    </row>
    <row r="710">
      <c r="B710" s="26"/>
      <c r="D710" s="18"/>
      <c r="E710" s="19"/>
      <c r="F710" s="19"/>
    </row>
    <row r="711">
      <c r="B711" s="26"/>
      <c r="D711" s="18"/>
      <c r="E711" s="19"/>
      <c r="F711" s="19"/>
    </row>
    <row r="712">
      <c r="B712" s="26"/>
      <c r="D712" s="18"/>
      <c r="E712" s="19"/>
      <c r="F712" s="19"/>
    </row>
    <row r="713">
      <c r="B713" s="26"/>
      <c r="D713" s="18"/>
      <c r="E713" s="19"/>
      <c r="F713" s="19"/>
    </row>
    <row r="714">
      <c r="B714" s="26"/>
      <c r="D714" s="18"/>
      <c r="E714" s="19"/>
      <c r="F714" s="19"/>
    </row>
    <row r="715">
      <c r="B715" s="26"/>
      <c r="D715" s="18"/>
      <c r="E715" s="19"/>
      <c r="F715" s="19"/>
    </row>
    <row r="716">
      <c r="B716" s="26"/>
      <c r="D716" s="18"/>
      <c r="E716" s="19"/>
      <c r="F716" s="19"/>
    </row>
    <row r="717">
      <c r="B717" s="26"/>
      <c r="D717" s="18"/>
      <c r="E717" s="19"/>
      <c r="F717" s="19"/>
    </row>
    <row r="718">
      <c r="B718" s="26"/>
      <c r="D718" s="18"/>
      <c r="E718" s="19"/>
      <c r="F718" s="19"/>
    </row>
    <row r="719">
      <c r="B719" s="26"/>
      <c r="D719" s="18"/>
      <c r="E719" s="19"/>
      <c r="F719" s="19"/>
    </row>
    <row r="720">
      <c r="B720" s="26"/>
      <c r="D720" s="18"/>
      <c r="E720" s="19"/>
      <c r="F720" s="19"/>
    </row>
    <row r="721">
      <c r="B721" s="26"/>
      <c r="D721" s="18"/>
      <c r="E721" s="19"/>
      <c r="F721" s="19"/>
    </row>
    <row r="722">
      <c r="B722" s="26"/>
      <c r="D722" s="18"/>
      <c r="E722" s="19"/>
      <c r="F722" s="19"/>
    </row>
    <row r="723">
      <c r="B723" s="26"/>
      <c r="D723" s="18"/>
      <c r="E723" s="19"/>
      <c r="F723" s="19"/>
    </row>
    <row r="724">
      <c r="B724" s="26"/>
      <c r="D724" s="18"/>
      <c r="E724" s="19"/>
      <c r="F724" s="19"/>
    </row>
    <row r="725">
      <c r="B725" s="26"/>
      <c r="D725" s="18"/>
      <c r="E725" s="19"/>
      <c r="F725" s="19"/>
    </row>
    <row r="726">
      <c r="B726" s="26"/>
      <c r="D726" s="18"/>
      <c r="E726" s="19"/>
      <c r="F726" s="19"/>
    </row>
    <row r="727">
      <c r="B727" s="26"/>
      <c r="D727" s="18"/>
      <c r="E727" s="19"/>
      <c r="F727" s="19"/>
    </row>
    <row r="728">
      <c r="B728" s="26"/>
      <c r="D728" s="18"/>
      <c r="E728" s="19"/>
      <c r="F728" s="19"/>
    </row>
    <row r="729">
      <c r="B729" s="26"/>
      <c r="D729" s="18"/>
      <c r="E729" s="19"/>
      <c r="F729" s="19"/>
    </row>
    <row r="730">
      <c r="B730" s="26"/>
      <c r="D730" s="18"/>
      <c r="E730" s="19"/>
      <c r="F730" s="19"/>
    </row>
    <row r="731">
      <c r="B731" s="26"/>
      <c r="D731" s="18"/>
      <c r="E731" s="19"/>
      <c r="F731" s="19"/>
    </row>
    <row r="732">
      <c r="B732" s="26"/>
      <c r="D732" s="18"/>
      <c r="E732" s="19"/>
      <c r="F732" s="19"/>
    </row>
    <row r="733">
      <c r="B733" s="26"/>
      <c r="D733" s="18"/>
      <c r="E733" s="19"/>
      <c r="F733" s="19"/>
    </row>
    <row r="734">
      <c r="B734" s="26"/>
      <c r="D734" s="18"/>
      <c r="E734" s="19"/>
      <c r="F734" s="19"/>
    </row>
    <row r="735">
      <c r="B735" s="26"/>
      <c r="D735" s="18"/>
      <c r="E735" s="19"/>
      <c r="F735" s="19"/>
    </row>
    <row r="736">
      <c r="B736" s="26"/>
      <c r="D736" s="18"/>
      <c r="E736" s="19"/>
      <c r="F736" s="19"/>
    </row>
    <row r="737">
      <c r="B737" s="26"/>
      <c r="D737" s="18"/>
      <c r="E737" s="19"/>
      <c r="F737" s="19"/>
    </row>
    <row r="738">
      <c r="B738" s="26"/>
      <c r="D738" s="18"/>
      <c r="E738" s="19"/>
      <c r="F738" s="19"/>
    </row>
    <row r="739">
      <c r="B739" s="26"/>
      <c r="D739" s="18"/>
      <c r="E739" s="19"/>
      <c r="F739" s="19"/>
    </row>
    <row r="740">
      <c r="B740" s="26"/>
      <c r="D740" s="18"/>
      <c r="E740" s="19"/>
      <c r="F740" s="19"/>
    </row>
    <row r="741">
      <c r="B741" s="26"/>
      <c r="D741" s="18"/>
      <c r="E741" s="19"/>
      <c r="F741" s="19"/>
    </row>
    <row r="742">
      <c r="B742" s="26"/>
      <c r="D742" s="18"/>
      <c r="E742" s="19"/>
      <c r="F742" s="19"/>
    </row>
    <row r="743">
      <c r="B743" s="26"/>
      <c r="D743" s="18"/>
      <c r="E743" s="19"/>
      <c r="F743" s="19"/>
    </row>
    <row r="744">
      <c r="B744" s="26"/>
      <c r="D744" s="18"/>
      <c r="E744" s="19"/>
      <c r="F744" s="19"/>
    </row>
    <row r="745">
      <c r="B745" s="26"/>
      <c r="D745" s="18"/>
      <c r="E745" s="19"/>
      <c r="F745" s="19"/>
    </row>
    <row r="746">
      <c r="B746" s="26"/>
      <c r="D746" s="18"/>
      <c r="E746" s="19"/>
      <c r="F746" s="19"/>
    </row>
    <row r="747">
      <c r="B747" s="26"/>
      <c r="D747" s="18"/>
      <c r="E747" s="19"/>
      <c r="F747" s="19"/>
    </row>
    <row r="748">
      <c r="B748" s="26"/>
      <c r="D748" s="18"/>
      <c r="E748" s="19"/>
      <c r="F748" s="19"/>
    </row>
    <row r="749">
      <c r="B749" s="26"/>
      <c r="D749" s="18"/>
      <c r="E749" s="19"/>
      <c r="F749" s="19"/>
    </row>
    <row r="750">
      <c r="B750" s="26"/>
      <c r="D750" s="18"/>
      <c r="E750" s="19"/>
      <c r="F750" s="19"/>
    </row>
    <row r="751">
      <c r="B751" s="26"/>
      <c r="D751" s="18"/>
      <c r="E751" s="19"/>
      <c r="F751" s="19"/>
    </row>
    <row r="752">
      <c r="B752" s="26"/>
      <c r="D752" s="18"/>
      <c r="E752" s="19"/>
      <c r="F752" s="19"/>
    </row>
    <row r="753">
      <c r="B753" s="26"/>
      <c r="D753" s="18"/>
      <c r="E753" s="19"/>
      <c r="F753" s="19"/>
    </row>
    <row r="754">
      <c r="B754" s="26"/>
      <c r="D754" s="18"/>
      <c r="E754" s="19"/>
      <c r="F754" s="19"/>
    </row>
    <row r="755">
      <c r="B755" s="26"/>
      <c r="D755" s="18"/>
      <c r="E755" s="19"/>
      <c r="F755" s="19"/>
    </row>
    <row r="756">
      <c r="B756" s="26"/>
      <c r="D756" s="18"/>
      <c r="E756" s="19"/>
      <c r="F756" s="19"/>
    </row>
    <row r="757">
      <c r="B757" s="26"/>
      <c r="D757" s="18"/>
      <c r="E757" s="19"/>
      <c r="F757" s="19"/>
    </row>
    <row r="758">
      <c r="B758" s="26"/>
      <c r="D758" s="18"/>
      <c r="E758" s="19"/>
      <c r="F758" s="19"/>
    </row>
    <row r="759">
      <c r="B759" s="26"/>
      <c r="D759" s="18"/>
      <c r="E759" s="19"/>
      <c r="F759" s="19"/>
    </row>
    <row r="760">
      <c r="B760" s="26"/>
      <c r="D760" s="18"/>
      <c r="E760" s="19"/>
      <c r="F760" s="19"/>
    </row>
    <row r="761">
      <c r="B761" s="26"/>
      <c r="D761" s="18"/>
      <c r="E761" s="19"/>
      <c r="F761" s="19"/>
    </row>
    <row r="762">
      <c r="B762" s="26"/>
      <c r="D762" s="18"/>
      <c r="E762" s="19"/>
      <c r="F762" s="19"/>
    </row>
    <row r="763">
      <c r="B763" s="26"/>
      <c r="D763" s="18"/>
      <c r="E763" s="19"/>
      <c r="F763" s="19"/>
    </row>
    <row r="764">
      <c r="B764" s="26"/>
      <c r="D764" s="18"/>
      <c r="E764" s="19"/>
      <c r="F764" s="19"/>
    </row>
    <row r="765">
      <c r="B765" s="26"/>
      <c r="D765" s="18"/>
      <c r="E765" s="19"/>
      <c r="F765" s="19"/>
    </row>
    <row r="766">
      <c r="B766" s="26"/>
      <c r="D766" s="18"/>
      <c r="E766" s="19"/>
      <c r="F766" s="19"/>
    </row>
    <row r="767">
      <c r="B767" s="26"/>
      <c r="D767" s="18"/>
      <c r="E767" s="19"/>
      <c r="F767" s="19"/>
    </row>
    <row r="768">
      <c r="B768" s="26"/>
      <c r="D768" s="18"/>
      <c r="E768" s="19"/>
      <c r="F768" s="19"/>
    </row>
    <row r="769">
      <c r="B769" s="26"/>
      <c r="D769" s="18"/>
      <c r="E769" s="19"/>
      <c r="F769" s="19"/>
    </row>
    <row r="770">
      <c r="B770" s="26"/>
      <c r="D770" s="18"/>
      <c r="E770" s="19"/>
      <c r="F770" s="19"/>
    </row>
    <row r="771">
      <c r="B771" s="26"/>
      <c r="D771" s="18"/>
      <c r="E771" s="19"/>
      <c r="F771" s="19"/>
    </row>
    <row r="772">
      <c r="B772" s="26"/>
      <c r="D772" s="18"/>
      <c r="E772" s="19"/>
      <c r="F772" s="19"/>
    </row>
    <row r="773">
      <c r="B773" s="26"/>
      <c r="D773" s="18"/>
      <c r="E773" s="19"/>
      <c r="F773" s="19"/>
    </row>
    <row r="774">
      <c r="B774" s="26"/>
      <c r="D774" s="18"/>
      <c r="E774" s="19"/>
      <c r="F774" s="19"/>
    </row>
    <row r="775">
      <c r="B775" s="26"/>
      <c r="D775" s="18"/>
      <c r="E775" s="19"/>
      <c r="F775" s="19"/>
    </row>
    <row r="776">
      <c r="B776" s="26"/>
      <c r="D776" s="18"/>
      <c r="E776" s="19"/>
      <c r="F776" s="19"/>
    </row>
    <row r="777">
      <c r="B777" s="26"/>
      <c r="D777" s="18"/>
      <c r="E777" s="19"/>
      <c r="F777" s="19"/>
    </row>
    <row r="778">
      <c r="B778" s="26"/>
      <c r="D778" s="18"/>
      <c r="E778" s="19"/>
      <c r="F778" s="19"/>
    </row>
    <row r="779">
      <c r="B779" s="26"/>
      <c r="D779" s="18"/>
      <c r="E779" s="19"/>
      <c r="F779" s="19"/>
    </row>
    <row r="780">
      <c r="B780" s="26"/>
      <c r="D780" s="18"/>
      <c r="E780" s="19"/>
      <c r="F780" s="19"/>
    </row>
    <row r="781">
      <c r="B781" s="26"/>
      <c r="D781" s="18"/>
      <c r="E781" s="19"/>
      <c r="F781" s="19"/>
    </row>
    <row r="782">
      <c r="B782" s="26"/>
      <c r="D782" s="18"/>
      <c r="E782" s="19"/>
      <c r="F782" s="19"/>
    </row>
    <row r="783">
      <c r="B783" s="26"/>
      <c r="D783" s="18"/>
      <c r="E783" s="19"/>
      <c r="F783" s="19"/>
    </row>
    <row r="784">
      <c r="B784" s="26"/>
      <c r="D784" s="18"/>
      <c r="E784" s="19"/>
      <c r="F784" s="19"/>
    </row>
    <row r="785">
      <c r="B785" s="26"/>
      <c r="D785" s="18"/>
      <c r="E785" s="19"/>
      <c r="F785" s="19"/>
    </row>
    <row r="786">
      <c r="B786" s="26"/>
      <c r="D786" s="18"/>
      <c r="E786" s="19"/>
      <c r="F786" s="19"/>
    </row>
    <row r="787">
      <c r="B787" s="26"/>
      <c r="D787" s="18"/>
      <c r="E787" s="19"/>
      <c r="F787" s="19"/>
    </row>
    <row r="788">
      <c r="B788" s="26"/>
      <c r="D788" s="18"/>
      <c r="E788" s="19"/>
      <c r="F788" s="19"/>
    </row>
    <row r="789">
      <c r="B789" s="26"/>
      <c r="D789" s="18"/>
      <c r="E789" s="19"/>
      <c r="F789" s="19"/>
    </row>
    <row r="790">
      <c r="B790" s="26"/>
      <c r="D790" s="18"/>
      <c r="E790" s="19"/>
      <c r="F790" s="19"/>
    </row>
    <row r="791">
      <c r="B791" s="26"/>
      <c r="D791" s="18"/>
      <c r="E791" s="19"/>
      <c r="F791" s="19"/>
    </row>
    <row r="792">
      <c r="B792" s="26"/>
      <c r="D792" s="18"/>
      <c r="E792" s="19"/>
      <c r="F792" s="19"/>
    </row>
    <row r="793">
      <c r="B793" s="26"/>
      <c r="D793" s="18"/>
      <c r="E793" s="19"/>
      <c r="F793" s="19"/>
    </row>
    <row r="794">
      <c r="B794" s="26"/>
      <c r="D794" s="18"/>
      <c r="E794" s="19"/>
      <c r="F794" s="19"/>
    </row>
    <row r="795">
      <c r="B795" s="26"/>
      <c r="D795" s="18"/>
      <c r="E795" s="19"/>
      <c r="F795" s="19"/>
    </row>
    <row r="796">
      <c r="B796" s="26"/>
      <c r="D796" s="18"/>
      <c r="E796" s="19"/>
      <c r="F796" s="19"/>
    </row>
    <row r="797">
      <c r="B797" s="26"/>
      <c r="D797" s="18"/>
      <c r="E797" s="19"/>
      <c r="F797" s="19"/>
    </row>
    <row r="798">
      <c r="B798" s="26"/>
      <c r="D798" s="18"/>
      <c r="E798" s="19"/>
      <c r="F798" s="19"/>
    </row>
    <row r="799">
      <c r="B799" s="26"/>
      <c r="D799" s="18"/>
      <c r="E799" s="19"/>
      <c r="F799" s="19"/>
    </row>
    <row r="800">
      <c r="B800" s="26"/>
      <c r="D800" s="18"/>
      <c r="E800" s="19"/>
      <c r="F800" s="19"/>
    </row>
    <row r="801">
      <c r="B801" s="26"/>
      <c r="D801" s="18"/>
      <c r="E801" s="19"/>
      <c r="F801" s="19"/>
    </row>
    <row r="802">
      <c r="B802" s="26"/>
      <c r="D802" s="18"/>
      <c r="E802" s="19"/>
      <c r="F802" s="19"/>
    </row>
    <row r="803">
      <c r="B803" s="26"/>
      <c r="D803" s="18"/>
      <c r="E803" s="19"/>
      <c r="F803" s="19"/>
    </row>
    <row r="804">
      <c r="B804" s="26"/>
      <c r="D804" s="18"/>
      <c r="E804" s="19"/>
      <c r="F804" s="19"/>
    </row>
    <row r="805">
      <c r="B805" s="26"/>
      <c r="D805" s="18"/>
      <c r="E805" s="19"/>
      <c r="F805" s="19"/>
    </row>
    <row r="806">
      <c r="B806" s="26"/>
      <c r="D806" s="18"/>
      <c r="E806" s="19"/>
      <c r="F806" s="19"/>
    </row>
    <row r="807">
      <c r="B807" s="26"/>
      <c r="D807" s="18"/>
      <c r="E807" s="19"/>
      <c r="F807" s="19"/>
    </row>
    <row r="808">
      <c r="B808" s="26"/>
      <c r="D808" s="18"/>
      <c r="E808" s="19"/>
      <c r="F808" s="19"/>
    </row>
    <row r="809">
      <c r="B809" s="26"/>
      <c r="D809" s="18"/>
      <c r="E809" s="19"/>
      <c r="F809" s="19"/>
    </row>
    <row r="810">
      <c r="B810" s="26"/>
      <c r="D810" s="18"/>
      <c r="E810" s="19"/>
      <c r="F810" s="19"/>
    </row>
    <row r="811">
      <c r="B811" s="26"/>
      <c r="D811" s="18"/>
      <c r="E811" s="19"/>
      <c r="F811" s="19"/>
    </row>
    <row r="812">
      <c r="B812" s="26"/>
      <c r="D812" s="18"/>
      <c r="E812" s="19"/>
      <c r="F812" s="19"/>
    </row>
    <row r="813">
      <c r="B813" s="26"/>
      <c r="D813" s="18"/>
      <c r="E813" s="19"/>
      <c r="F813" s="19"/>
    </row>
    <row r="814">
      <c r="B814" s="26"/>
      <c r="D814" s="18"/>
      <c r="E814" s="19"/>
      <c r="F814" s="19"/>
    </row>
    <row r="815">
      <c r="B815" s="26"/>
      <c r="D815" s="18"/>
      <c r="E815" s="19"/>
      <c r="F815" s="19"/>
    </row>
    <row r="816">
      <c r="B816" s="26"/>
      <c r="D816" s="18"/>
      <c r="E816" s="19"/>
      <c r="F816" s="19"/>
    </row>
    <row r="817">
      <c r="B817" s="26"/>
      <c r="D817" s="18"/>
      <c r="E817" s="19"/>
      <c r="F817" s="19"/>
    </row>
    <row r="818">
      <c r="B818" s="26"/>
      <c r="D818" s="18"/>
      <c r="E818" s="19"/>
      <c r="F818" s="19"/>
    </row>
    <row r="819">
      <c r="B819" s="26"/>
      <c r="D819" s="18"/>
      <c r="E819" s="19"/>
      <c r="F819" s="19"/>
    </row>
    <row r="820">
      <c r="B820" s="26"/>
      <c r="D820" s="18"/>
      <c r="E820" s="19"/>
      <c r="F820" s="19"/>
    </row>
    <row r="821">
      <c r="B821" s="26"/>
      <c r="D821" s="18"/>
      <c r="E821" s="19"/>
      <c r="F821" s="19"/>
    </row>
    <row r="822">
      <c r="B822" s="26"/>
      <c r="D822" s="18"/>
      <c r="E822" s="19"/>
      <c r="F822" s="19"/>
    </row>
    <row r="823">
      <c r="B823" s="26"/>
      <c r="D823" s="18"/>
      <c r="E823" s="19"/>
      <c r="F823" s="19"/>
    </row>
    <row r="824">
      <c r="B824" s="26"/>
      <c r="D824" s="18"/>
      <c r="E824" s="19"/>
      <c r="F824" s="19"/>
    </row>
    <row r="825">
      <c r="B825" s="26"/>
      <c r="D825" s="18"/>
      <c r="E825" s="19"/>
      <c r="F825" s="19"/>
    </row>
    <row r="826">
      <c r="B826" s="26"/>
      <c r="D826" s="18"/>
      <c r="E826" s="19"/>
      <c r="F826" s="19"/>
    </row>
    <row r="827">
      <c r="B827" s="26"/>
      <c r="D827" s="18"/>
      <c r="E827" s="19"/>
      <c r="F827" s="19"/>
    </row>
    <row r="828">
      <c r="B828" s="26"/>
      <c r="D828" s="18"/>
      <c r="E828" s="19"/>
      <c r="F828" s="19"/>
    </row>
    <row r="829">
      <c r="B829" s="26"/>
      <c r="D829" s="18"/>
      <c r="E829" s="19"/>
      <c r="F829" s="19"/>
    </row>
    <row r="830">
      <c r="B830" s="26"/>
      <c r="D830" s="18"/>
      <c r="E830" s="19"/>
      <c r="F830" s="19"/>
    </row>
    <row r="831">
      <c r="B831" s="26"/>
      <c r="D831" s="18"/>
      <c r="E831" s="19"/>
      <c r="F831" s="19"/>
    </row>
    <row r="832">
      <c r="B832" s="26"/>
      <c r="D832" s="18"/>
      <c r="E832" s="19"/>
      <c r="F832" s="19"/>
    </row>
    <row r="833">
      <c r="B833" s="26"/>
      <c r="D833" s="18"/>
      <c r="E833" s="19"/>
      <c r="F833" s="19"/>
    </row>
    <row r="834">
      <c r="B834" s="26"/>
      <c r="D834" s="18"/>
      <c r="E834" s="19"/>
      <c r="F834" s="19"/>
    </row>
    <row r="835">
      <c r="B835" s="26"/>
      <c r="D835" s="18"/>
      <c r="E835" s="19"/>
      <c r="F835" s="19"/>
    </row>
    <row r="836">
      <c r="B836" s="26"/>
      <c r="D836" s="18"/>
      <c r="E836" s="19"/>
      <c r="F836" s="19"/>
    </row>
    <row r="837">
      <c r="B837" s="26"/>
      <c r="D837" s="18"/>
      <c r="E837" s="19"/>
      <c r="F837" s="19"/>
    </row>
    <row r="838">
      <c r="B838" s="26"/>
      <c r="D838" s="18"/>
      <c r="E838" s="19"/>
      <c r="F838" s="19"/>
    </row>
    <row r="839">
      <c r="B839" s="26"/>
      <c r="D839" s="18"/>
      <c r="E839" s="19"/>
      <c r="F839" s="19"/>
    </row>
    <row r="840">
      <c r="B840" s="26"/>
      <c r="D840" s="18"/>
      <c r="E840" s="19"/>
      <c r="F840" s="19"/>
    </row>
    <row r="841">
      <c r="B841" s="26"/>
      <c r="D841" s="18"/>
      <c r="E841" s="19"/>
      <c r="F841" s="19"/>
    </row>
    <row r="842">
      <c r="B842" s="26"/>
      <c r="D842" s="18"/>
      <c r="E842" s="19"/>
      <c r="F842" s="19"/>
    </row>
    <row r="843">
      <c r="B843" s="26"/>
      <c r="D843" s="18"/>
      <c r="E843" s="19"/>
      <c r="F843" s="19"/>
    </row>
    <row r="844">
      <c r="B844" s="26"/>
      <c r="D844" s="18"/>
      <c r="E844" s="19"/>
      <c r="F844" s="19"/>
    </row>
    <row r="845">
      <c r="B845" s="26"/>
      <c r="D845" s="18"/>
      <c r="E845" s="19"/>
      <c r="F845" s="19"/>
    </row>
    <row r="846">
      <c r="B846" s="26"/>
      <c r="D846" s="18"/>
      <c r="E846" s="19"/>
      <c r="F846" s="19"/>
    </row>
    <row r="847">
      <c r="B847" s="26"/>
      <c r="D847" s="18"/>
      <c r="E847" s="19"/>
      <c r="F847" s="19"/>
    </row>
    <row r="848">
      <c r="B848" s="26"/>
      <c r="D848" s="18"/>
      <c r="E848" s="19"/>
      <c r="F848" s="19"/>
    </row>
    <row r="849">
      <c r="B849" s="26"/>
      <c r="D849" s="18"/>
      <c r="E849" s="19"/>
      <c r="F849" s="19"/>
    </row>
    <row r="850">
      <c r="B850" s="26"/>
      <c r="D850" s="18"/>
      <c r="E850" s="19"/>
      <c r="F850" s="19"/>
    </row>
    <row r="851">
      <c r="B851" s="26"/>
      <c r="D851" s="18"/>
      <c r="E851" s="19"/>
      <c r="F851" s="19"/>
    </row>
    <row r="852">
      <c r="B852" s="26"/>
      <c r="D852" s="18"/>
      <c r="E852" s="19"/>
      <c r="F852" s="19"/>
    </row>
    <row r="853">
      <c r="B853" s="26"/>
      <c r="D853" s="18"/>
      <c r="E853" s="19"/>
      <c r="F853" s="19"/>
    </row>
    <row r="854">
      <c r="B854" s="26"/>
      <c r="D854" s="18"/>
      <c r="E854" s="19"/>
      <c r="F854" s="19"/>
    </row>
    <row r="855">
      <c r="B855" s="26"/>
      <c r="D855" s="18"/>
      <c r="E855" s="19"/>
      <c r="F855" s="19"/>
    </row>
    <row r="856">
      <c r="B856" s="26"/>
      <c r="D856" s="18"/>
      <c r="E856" s="19"/>
      <c r="F856" s="19"/>
    </row>
    <row r="857">
      <c r="B857" s="26"/>
      <c r="D857" s="18"/>
      <c r="E857" s="19"/>
      <c r="F857" s="19"/>
    </row>
    <row r="858">
      <c r="B858" s="26"/>
      <c r="D858" s="18"/>
      <c r="E858" s="19"/>
      <c r="F858" s="19"/>
    </row>
    <row r="859">
      <c r="B859" s="26"/>
      <c r="D859" s="18"/>
      <c r="E859" s="19"/>
      <c r="F859" s="19"/>
    </row>
    <row r="860">
      <c r="B860" s="26"/>
      <c r="D860" s="18"/>
      <c r="E860" s="19"/>
      <c r="F860" s="19"/>
    </row>
    <row r="861">
      <c r="B861" s="26"/>
      <c r="D861" s="18"/>
      <c r="E861" s="19"/>
      <c r="F861" s="19"/>
    </row>
    <row r="862">
      <c r="B862" s="26"/>
      <c r="D862" s="18"/>
      <c r="E862" s="19"/>
      <c r="F862" s="19"/>
    </row>
    <row r="863">
      <c r="B863" s="26"/>
      <c r="D863" s="18"/>
      <c r="E863" s="19"/>
      <c r="F863" s="19"/>
    </row>
    <row r="864">
      <c r="B864" s="26"/>
      <c r="D864" s="18"/>
      <c r="E864" s="19"/>
      <c r="F864" s="19"/>
    </row>
    <row r="865">
      <c r="B865" s="26"/>
      <c r="D865" s="18"/>
      <c r="E865" s="19"/>
      <c r="F865" s="19"/>
    </row>
    <row r="866">
      <c r="B866" s="26"/>
      <c r="D866" s="18"/>
      <c r="E866" s="19"/>
      <c r="F866" s="19"/>
    </row>
    <row r="867">
      <c r="B867" s="26"/>
      <c r="D867" s="18"/>
      <c r="E867" s="19"/>
      <c r="F867" s="19"/>
    </row>
    <row r="868">
      <c r="B868" s="26"/>
      <c r="D868" s="18"/>
      <c r="E868" s="19"/>
      <c r="F868" s="19"/>
    </row>
    <row r="869">
      <c r="B869" s="26"/>
      <c r="D869" s="18"/>
      <c r="E869" s="19"/>
      <c r="F869" s="19"/>
    </row>
    <row r="870">
      <c r="B870" s="26"/>
      <c r="D870" s="18"/>
      <c r="E870" s="19"/>
      <c r="F870" s="19"/>
    </row>
    <row r="871">
      <c r="B871" s="26"/>
      <c r="D871" s="18"/>
      <c r="E871" s="19"/>
      <c r="F871" s="19"/>
    </row>
    <row r="872">
      <c r="B872" s="26"/>
      <c r="D872" s="18"/>
      <c r="E872" s="19"/>
      <c r="F872" s="19"/>
    </row>
    <row r="873">
      <c r="B873" s="26"/>
      <c r="D873" s="18"/>
      <c r="E873" s="19"/>
      <c r="F873" s="19"/>
    </row>
    <row r="874">
      <c r="B874" s="26"/>
      <c r="D874" s="18"/>
      <c r="E874" s="19"/>
      <c r="F874" s="19"/>
    </row>
    <row r="875">
      <c r="B875" s="26"/>
      <c r="D875" s="18"/>
      <c r="E875" s="19"/>
      <c r="F875" s="19"/>
    </row>
    <row r="876">
      <c r="B876" s="26"/>
      <c r="D876" s="18"/>
      <c r="E876" s="19"/>
      <c r="F876" s="19"/>
    </row>
    <row r="877">
      <c r="B877" s="26"/>
      <c r="D877" s="18"/>
      <c r="E877" s="19"/>
      <c r="F877" s="19"/>
    </row>
    <row r="878">
      <c r="B878" s="26"/>
      <c r="D878" s="18"/>
      <c r="E878" s="19"/>
      <c r="F878" s="19"/>
    </row>
    <row r="879">
      <c r="B879" s="26"/>
      <c r="D879" s="18"/>
      <c r="E879" s="19"/>
      <c r="F879" s="19"/>
    </row>
    <row r="880">
      <c r="B880" s="26"/>
      <c r="D880" s="18"/>
      <c r="E880" s="19"/>
      <c r="F880" s="19"/>
    </row>
    <row r="881">
      <c r="B881" s="26"/>
      <c r="D881" s="18"/>
      <c r="E881" s="19"/>
      <c r="F881" s="19"/>
    </row>
    <row r="882">
      <c r="B882" s="26"/>
      <c r="D882" s="18"/>
      <c r="E882" s="19"/>
      <c r="F882" s="19"/>
    </row>
    <row r="883">
      <c r="B883" s="26"/>
      <c r="D883" s="18"/>
      <c r="E883" s="19"/>
      <c r="F883" s="19"/>
    </row>
    <row r="884">
      <c r="B884" s="26"/>
      <c r="D884" s="18"/>
      <c r="E884" s="19"/>
      <c r="F884" s="19"/>
    </row>
    <row r="885">
      <c r="B885" s="26"/>
      <c r="D885" s="18"/>
      <c r="E885" s="19"/>
      <c r="F885" s="19"/>
    </row>
    <row r="886">
      <c r="B886" s="26"/>
      <c r="D886" s="18"/>
      <c r="E886" s="19"/>
      <c r="F886" s="19"/>
    </row>
    <row r="887">
      <c r="B887" s="26"/>
      <c r="D887" s="18"/>
      <c r="E887" s="19"/>
      <c r="F887" s="19"/>
    </row>
    <row r="888">
      <c r="B888" s="26"/>
      <c r="D888" s="18"/>
      <c r="E888" s="19"/>
      <c r="F888" s="19"/>
    </row>
    <row r="889">
      <c r="B889" s="26"/>
      <c r="D889" s="18"/>
      <c r="E889" s="19"/>
      <c r="F889" s="19"/>
    </row>
    <row r="890">
      <c r="B890" s="26"/>
      <c r="D890" s="18"/>
      <c r="E890" s="19"/>
      <c r="F890" s="19"/>
    </row>
    <row r="891">
      <c r="B891" s="26"/>
      <c r="D891" s="18"/>
      <c r="E891" s="19"/>
      <c r="F891" s="19"/>
    </row>
    <row r="892">
      <c r="B892" s="26"/>
      <c r="D892" s="18"/>
      <c r="E892" s="19"/>
      <c r="F892" s="19"/>
    </row>
    <row r="893">
      <c r="B893" s="26"/>
      <c r="D893" s="18"/>
      <c r="E893" s="19"/>
      <c r="F893" s="19"/>
    </row>
    <row r="894">
      <c r="B894" s="26"/>
      <c r="D894" s="18"/>
      <c r="E894" s="19"/>
      <c r="F894" s="19"/>
    </row>
    <row r="895">
      <c r="B895" s="26"/>
      <c r="D895" s="18"/>
      <c r="E895" s="19"/>
      <c r="F895" s="19"/>
    </row>
    <row r="896">
      <c r="B896" s="26"/>
      <c r="D896" s="18"/>
      <c r="E896" s="19"/>
      <c r="F896" s="19"/>
    </row>
    <row r="897">
      <c r="B897" s="26"/>
      <c r="D897" s="18"/>
      <c r="E897" s="19"/>
      <c r="F897" s="19"/>
    </row>
    <row r="898">
      <c r="B898" s="26"/>
      <c r="D898" s="18"/>
      <c r="E898" s="19"/>
      <c r="F898" s="19"/>
    </row>
    <row r="899">
      <c r="B899" s="26"/>
      <c r="D899" s="18"/>
      <c r="E899" s="19"/>
      <c r="F899" s="19"/>
    </row>
    <row r="900">
      <c r="B900" s="26"/>
      <c r="D900" s="18"/>
      <c r="E900" s="19"/>
      <c r="F900" s="19"/>
    </row>
    <row r="901">
      <c r="B901" s="26"/>
      <c r="D901" s="18"/>
      <c r="E901" s="19"/>
      <c r="F901" s="19"/>
    </row>
    <row r="902">
      <c r="B902" s="26"/>
      <c r="D902" s="18"/>
      <c r="E902" s="19"/>
      <c r="F902" s="19"/>
    </row>
    <row r="903">
      <c r="B903" s="26"/>
      <c r="D903" s="18"/>
      <c r="E903" s="19"/>
      <c r="F903" s="19"/>
    </row>
    <row r="904">
      <c r="B904" s="26"/>
      <c r="D904" s="18"/>
      <c r="E904" s="19"/>
      <c r="F904" s="19"/>
    </row>
    <row r="905">
      <c r="B905" s="26"/>
      <c r="D905" s="18"/>
      <c r="E905" s="19"/>
      <c r="F905" s="19"/>
    </row>
    <row r="906">
      <c r="B906" s="26"/>
      <c r="D906" s="18"/>
      <c r="E906" s="19"/>
      <c r="F906" s="19"/>
    </row>
    <row r="907">
      <c r="B907" s="26"/>
      <c r="D907" s="18"/>
      <c r="E907" s="19"/>
      <c r="F907" s="19"/>
    </row>
    <row r="908">
      <c r="B908" s="26"/>
      <c r="D908" s="18"/>
      <c r="E908" s="19"/>
      <c r="F908" s="19"/>
    </row>
    <row r="909">
      <c r="B909" s="26"/>
      <c r="D909" s="18"/>
      <c r="E909" s="19"/>
      <c r="F909" s="19"/>
    </row>
    <row r="910">
      <c r="B910" s="26"/>
      <c r="D910" s="18"/>
      <c r="E910" s="19"/>
      <c r="F910" s="19"/>
    </row>
    <row r="911">
      <c r="B911" s="26"/>
      <c r="D911" s="18"/>
      <c r="E911" s="19"/>
      <c r="F911" s="19"/>
    </row>
    <row r="912">
      <c r="B912" s="26"/>
      <c r="D912" s="18"/>
      <c r="E912" s="19"/>
      <c r="F912" s="19"/>
    </row>
    <row r="913">
      <c r="B913" s="26"/>
      <c r="D913" s="18"/>
      <c r="E913" s="19"/>
      <c r="F913" s="19"/>
    </row>
    <row r="914">
      <c r="B914" s="26"/>
      <c r="D914" s="18"/>
      <c r="E914" s="19"/>
      <c r="F914" s="19"/>
    </row>
    <row r="915">
      <c r="B915" s="26"/>
      <c r="D915" s="18"/>
      <c r="E915" s="19"/>
      <c r="F915" s="19"/>
    </row>
    <row r="916">
      <c r="B916" s="26"/>
      <c r="D916" s="18"/>
      <c r="E916" s="19"/>
      <c r="F916" s="19"/>
    </row>
    <row r="917">
      <c r="B917" s="26"/>
      <c r="D917" s="18"/>
      <c r="E917" s="19"/>
      <c r="F917" s="19"/>
    </row>
    <row r="918">
      <c r="B918" s="26"/>
      <c r="D918" s="18"/>
      <c r="E918" s="19"/>
      <c r="F918" s="19"/>
    </row>
    <row r="919">
      <c r="B919" s="26"/>
      <c r="D919" s="18"/>
      <c r="E919" s="19"/>
      <c r="F919" s="19"/>
    </row>
    <row r="920">
      <c r="B920" s="26"/>
      <c r="D920" s="18"/>
      <c r="E920" s="19"/>
      <c r="F920" s="19"/>
    </row>
    <row r="921">
      <c r="B921" s="26"/>
      <c r="D921" s="18"/>
      <c r="E921" s="19"/>
      <c r="F921" s="19"/>
    </row>
    <row r="922">
      <c r="B922" s="26"/>
      <c r="D922" s="18"/>
      <c r="E922" s="19"/>
      <c r="F922" s="19"/>
    </row>
    <row r="923">
      <c r="B923" s="26"/>
      <c r="D923" s="18"/>
      <c r="E923" s="19"/>
      <c r="F923" s="19"/>
    </row>
    <row r="924">
      <c r="B924" s="26"/>
      <c r="D924" s="18"/>
      <c r="E924" s="19"/>
      <c r="F924" s="19"/>
    </row>
    <row r="925">
      <c r="B925" s="26"/>
      <c r="D925" s="18"/>
      <c r="E925" s="19"/>
      <c r="F925" s="19"/>
    </row>
    <row r="926">
      <c r="B926" s="26"/>
      <c r="D926" s="18"/>
      <c r="E926" s="19"/>
      <c r="F926" s="19"/>
    </row>
    <row r="927">
      <c r="B927" s="26"/>
      <c r="D927" s="18"/>
      <c r="E927" s="19"/>
      <c r="F927" s="19"/>
    </row>
    <row r="928">
      <c r="B928" s="26"/>
      <c r="D928" s="18"/>
      <c r="E928" s="19"/>
      <c r="F928" s="19"/>
    </row>
    <row r="929">
      <c r="B929" s="26"/>
      <c r="D929" s="18"/>
      <c r="E929" s="19"/>
      <c r="F929" s="19"/>
    </row>
    <row r="930">
      <c r="B930" s="26"/>
      <c r="D930" s="18"/>
      <c r="E930" s="19"/>
      <c r="F930" s="19"/>
    </row>
    <row r="931">
      <c r="B931" s="26"/>
      <c r="D931" s="18"/>
      <c r="E931" s="19"/>
      <c r="F931" s="19"/>
    </row>
    <row r="932">
      <c r="B932" s="26"/>
      <c r="D932" s="18"/>
      <c r="E932" s="19"/>
      <c r="F932" s="19"/>
    </row>
    <row r="933">
      <c r="B933" s="26"/>
      <c r="D933" s="18"/>
      <c r="E933" s="19"/>
      <c r="F933" s="19"/>
    </row>
    <row r="934">
      <c r="B934" s="26"/>
      <c r="D934" s="18"/>
      <c r="E934" s="19"/>
      <c r="F934" s="19"/>
    </row>
    <row r="935">
      <c r="B935" s="26"/>
      <c r="D935" s="18"/>
      <c r="E935" s="19"/>
      <c r="F935" s="19"/>
    </row>
    <row r="936">
      <c r="B936" s="26"/>
      <c r="D936" s="18"/>
      <c r="E936" s="19"/>
      <c r="F936" s="19"/>
    </row>
    <row r="937">
      <c r="B937" s="26"/>
      <c r="D937" s="18"/>
      <c r="E937" s="19"/>
      <c r="F937" s="19"/>
    </row>
    <row r="938">
      <c r="B938" s="26"/>
      <c r="D938" s="18"/>
      <c r="E938" s="19"/>
      <c r="F938" s="19"/>
    </row>
    <row r="939">
      <c r="B939" s="26"/>
      <c r="D939" s="18"/>
      <c r="E939" s="19"/>
      <c r="F939" s="19"/>
    </row>
    <row r="940">
      <c r="B940" s="26"/>
      <c r="D940" s="18"/>
      <c r="E940" s="19"/>
      <c r="F940" s="19"/>
    </row>
    <row r="941">
      <c r="B941" s="26"/>
      <c r="D941" s="18"/>
      <c r="E941" s="19"/>
      <c r="F941" s="19"/>
    </row>
    <row r="942">
      <c r="B942" s="26"/>
      <c r="D942" s="18"/>
      <c r="E942" s="19"/>
      <c r="F942" s="19"/>
    </row>
    <row r="943">
      <c r="B943" s="26"/>
      <c r="D943" s="18"/>
      <c r="E943" s="19"/>
      <c r="F943" s="19"/>
    </row>
    <row r="944">
      <c r="B944" s="26"/>
      <c r="D944" s="18"/>
      <c r="E944" s="19"/>
      <c r="F944" s="19"/>
    </row>
    <row r="945">
      <c r="B945" s="26"/>
      <c r="D945" s="18"/>
      <c r="E945" s="19"/>
      <c r="F945" s="19"/>
    </row>
    <row r="946">
      <c r="B946" s="26"/>
      <c r="D946" s="18"/>
      <c r="E946" s="19"/>
      <c r="F946" s="19"/>
    </row>
    <row r="947">
      <c r="B947" s="26"/>
      <c r="D947" s="18"/>
      <c r="E947" s="19"/>
      <c r="F947" s="19"/>
    </row>
    <row r="948">
      <c r="B948" s="26"/>
      <c r="D948" s="18"/>
      <c r="E948" s="19"/>
      <c r="F948" s="19"/>
    </row>
    <row r="949">
      <c r="B949" s="26"/>
      <c r="D949" s="18"/>
      <c r="E949" s="19"/>
      <c r="F949" s="19"/>
    </row>
    <row r="950">
      <c r="B950" s="26"/>
      <c r="D950" s="18"/>
      <c r="E950" s="19"/>
      <c r="F950" s="19"/>
    </row>
    <row r="951">
      <c r="B951" s="26"/>
      <c r="D951" s="18"/>
      <c r="E951" s="19"/>
      <c r="F951" s="19"/>
    </row>
    <row r="952">
      <c r="B952" s="26"/>
      <c r="D952" s="18"/>
      <c r="E952" s="19"/>
      <c r="F952" s="19"/>
    </row>
    <row r="953">
      <c r="B953" s="26"/>
      <c r="D953" s="18"/>
      <c r="E953" s="19"/>
      <c r="F953" s="19"/>
    </row>
    <row r="954">
      <c r="B954" s="26"/>
      <c r="D954" s="18"/>
      <c r="E954" s="19"/>
      <c r="F954" s="19"/>
    </row>
    <row r="955">
      <c r="B955" s="26"/>
      <c r="D955" s="18"/>
      <c r="E955" s="19"/>
      <c r="F955" s="19"/>
    </row>
    <row r="956">
      <c r="B956" s="26"/>
      <c r="D956" s="18"/>
      <c r="E956" s="19"/>
      <c r="F956" s="19"/>
    </row>
    <row r="957">
      <c r="B957" s="26"/>
      <c r="D957" s="18"/>
      <c r="E957" s="19"/>
      <c r="F957" s="19"/>
    </row>
    <row r="958">
      <c r="B958" s="26"/>
      <c r="D958" s="18"/>
      <c r="E958" s="19"/>
      <c r="F958" s="19"/>
    </row>
    <row r="959">
      <c r="B959" s="26"/>
      <c r="D959" s="18"/>
      <c r="E959" s="19"/>
      <c r="F959" s="19"/>
    </row>
    <row r="960">
      <c r="B960" s="26"/>
      <c r="D960" s="18"/>
      <c r="E960" s="19"/>
      <c r="F960" s="19"/>
    </row>
    <row r="961">
      <c r="B961" s="26"/>
      <c r="D961" s="18"/>
      <c r="E961" s="19"/>
      <c r="F961" s="19"/>
    </row>
    <row r="962">
      <c r="B962" s="26"/>
      <c r="D962" s="18"/>
      <c r="E962" s="19"/>
      <c r="F962" s="19"/>
    </row>
    <row r="963">
      <c r="B963" s="26"/>
      <c r="D963" s="18"/>
      <c r="E963" s="19"/>
      <c r="F963" s="19"/>
    </row>
    <row r="964">
      <c r="B964" s="26"/>
      <c r="D964" s="18"/>
      <c r="E964" s="19"/>
      <c r="F964" s="19"/>
    </row>
    <row r="965">
      <c r="B965" s="26"/>
      <c r="D965" s="18"/>
      <c r="E965" s="19"/>
      <c r="F965" s="19"/>
    </row>
    <row r="966">
      <c r="B966" s="26"/>
      <c r="D966" s="18"/>
      <c r="E966" s="19"/>
      <c r="F966" s="19"/>
    </row>
    <row r="967">
      <c r="B967" s="26"/>
      <c r="D967" s="18"/>
      <c r="E967" s="19"/>
      <c r="F967" s="19"/>
    </row>
    <row r="968">
      <c r="B968" s="26"/>
      <c r="D968" s="18"/>
      <c r="E968" s="19"/>
      <c r="F968" s="19"/>
    </row>
    <row r="969">
      <c r="B969" s="26"/>
      <c r="D969" s="18"/>
      <c r="E969" s="19"/>
      <c r="F969" s="19"/>
    </row>
    <row r="970">
      <c r="B970" s="26"/>
      <c r="D970" s="18"/>
      <c r="E970" s="19"/>
      <c r="F970" s="19"/>
    </row>
    <row r="971">
      <c r="B971" s="26"/>
      <c r="D971" s="18"/>
      <c r="E971" s="19"/>
      <c r="F971" s="19"/>
    </row>
    <row r="972">
      <c r="B972" s="26"/>
      <c r="D972" s="18"/>
      <c r="E972" s="19"/>
      <c r="F972" s="19"/>
    </row>
    <row r="973">
      <c r="B973" s="26"/>
      <c r="D973" s="18"/>
      <c r="E973" s="19"/>
      <c r="F973" s="19"/>
    </row>
    <row r="974">
      <c r="B974" s="26"/>
      <c r="D974" s="18"/>
      <c r="E974" s="19"/>
      <c r="F974" s="19"/>
    </row>
    <row r="975">
      <c r="B975" s="26"/>
      <c r="D975" s="18"/>
      <c r="E975" s="19"/>
      <c r="F975" s="19"/>
    </row>
    <row r="976">
      <c r="B976" s="26"/>
      <c r="D976" s="18"/>
      <c r="E976" s="19"/>
      <c r="F976" s="19"/>
    </row>
    <row r="977">
      <c r="B977" s="26"/>
      <c r="D977" s="18"/>
      <c r="E977" s="19"/>
      <c r="F977" s="19"/>
    </row>
    <row r="978">
      <c r="B978" s="26"/>
      <c r="D978" s="18"/>
      <c r="E978" s="19"/>
      <c r="F978" s="19"/>
    </row>
    <row r="979">
      <c r="B979" s="26"/>
      <c r="D979" s="18"/>
      <c r="E979" s="19"/>
      <c r="F979" s="19"/>
    </row>
    <row r="980">
      <c r="B980" s="26"/>
      <c r="D980" s="18"/>
      <c r="E980" s="19"/>
      <c r="F980" s="19"/>
    </row>
    <row r="981">
      <c r="B981" s="26"/>
      <c r="D981" s="18"/>
      <c r="E981" s="19"/>
      <c r="F981" s="19"/>
    </row>
    <row r="982">
      <c r="B982" s="26"/>
      <c r="D982" s="18"/>
      <c r="E982" s="19"/>
      <c r="F982" s="19"/>
    </row>
    <row r="983">
      <c r="B983" s="26"/>
      <c r="D983" s="18"/>
      <c r="E983" s="19"/>
      <c r="F983" s="19"/>
    </row>
    <row r="984">
      <c r="B984" s="26"/>
      <c r="D984" s="18"/>
      <c r="E984" s="19"/>
      <c r="F984" s="19"/>
    </row>
    <row r="985">
      <c r="B985" s="26"/>
      <c r="D985" s="18"/>
      <c r="E985" s="19"/>
      <c r="F985" s="19"/>
    </row>
    <row r="986">
      <c r="B986" s="26"/>
      <c r="D986" s="18"/>
      <c r="E986" s="19"/>
      <c r="F986" s="19"/>
    </row>
    <row r="987">
      <c r="B987" s="26"/>
      <c r="D987" s="18"/>
      <c r="E987" s="19"/>
      <c r="F987" s="19"/>
    </row>
    <row r="988">
      <c r="B988" s="26"/>
      <c r="D988" s="18"/>
      <c r="E988" s="19"/>
      <c r="F988" s="19"/>
    </row>
    <row r="989">
      <c r="B989" s="26"/>
      <c r="D989" s="18"/>
      <c r="E989" s="19"/>
      <c r="F989" s="19"/>
    </row>
    <row r="990">
      <c r="B990" s="26"/>
      <c r="D990" s="18"/>
      <c r="E990" s="19"/>
      <c r="F990" s="19"/>
    </row>
    <row r="991">
      <c r="B991" s="26"/>
      <c r="D991" s="18"/>
      <c r="E991" s="19"/>
      <c r="F991" s="19"/>
    </row>
    <row r="992">
      <c r="B992" s="26"/>
      <c r="D992" s="18"/>
      <c r="E992" s="19"/>
      <c r="F992" s="19"/>
    </row>
    <row r="993">
      <c r="B993" s="26"/>
      <c r="D993" s="18"/>
      <c r="E993" s="19"/>
      <c r="F993" s="19"/>
    </row>
    <row r="994">
      <c r="B994" s="26"/>
      <c r="D994" s="18"/>
      <c r="E994" s="19"/>
      <c r="F994" s="19"/>
    </row>
    <row r="995">
      <c r="B995" s="26"/>
      <c r="D995" s="18"/>
      <c r="E995" s="19"/>
      <c r="F995" s="19"/>
    </row>
    <row r="996">
      <c r="B996" s="26"/>
      <c r="D996" s="18"/>
      <c r="E996" s="19"/>
      <c r="F996" s="19"/>
    </row>
    <row r="997">
      <c r="B997" s="26"/>
      <c r="D997" s="18"/>
      <c r="E997" s="19"/>
      <c r="F997" s="19"/>
    </row>
    <row r="998">
      <c r="B998" s="26"/>
      <c r="D998" s="18"/>
      <c r="E998" s="19"/>
      <c r="F998" s="19"/>
    </row>
    <row r="999">
      <c r="B999" s="26"/>
      <c r="D999" s="18"/>
      <c r="E999" s="19"/>
      <c r="F999" s="19"/>
    </row>
    <row r="1000">
      <c r="B1000" s="26"/>
      <c r="D1000" s="18"/>
      <c r="E1000" s="19"/>
      <c r="F1000" s="19"/>
    </row>
    <row r="1001">
      <c r="B1001" s="26"/>
      <c r="D1001" s="18"/>
      <c r="E1001" s="19"/>
      <c r="F1001" s="19"/>
    </row>
    <row r="1002">
      <c r="B1002" s="26"/>
      <c r="D1002" s="18"/>
      <c r="E1002" s="19"/>
      <c r="F1002" s="19"/>
    </row>
    <row r="1003">
      <c r="B1003" s="26"/>
      <c r="D1003" s="18"/>
      <c r="E1003" s="19"/>
      <c r="F1003" s="19"/>
    </row>
    <row r="1004">
      <c r="B1004" s="26"/>
      <c r="D1004" s="18"/>
      <c r="E1004" s="19"/>
      <c r="F1004" s="19"/>
    </row>
    <row r="1005">
      <c r="B1005" s="26"/>
      <c r="D1005" s="18"/>
      <c r="E1005" s="19"/>
      <c r="F1005" s="19"/>
    </row>
    <row r="1006">
      <c r="B1006" s="26"/>
      <c r="D1006" s="18"/>
      <c r="E1006" s="19"/>
      <c r="F1006" s="19"/>
    </row>
    <row r="1007">
      <c r="B1007" s="26"/>
      <c r="D1007" s="18"/>
      <c r="E1007" s="19"/>
      <c r="F1007" s="19"/>
    </row>
    <row r="1008">
      <c r="B1008" s="26"/>
      <c r="D1008" s="18"/>
      <c r="E1008" s="19"/>
      <c r="F1008" s="19"/>
    </row>
    <row r="1009">
      <c r="B1009" s="26"/>
      <c r="D1009" s="18"/>
      <c r="E1009" s="19"/>
      <c r="F1009" s="19"/>
    </row>
    <row r="1010">
      <c r="B1010" s="26"/>
      <c r="D1010" s="18"/>
      <c r="E1010" s="19"/>
      <c r="F1010" s="19"/>
    </row>
    <row r="1011">
      <c r="B1011" s="26"/>
      <c r="D1011" s="18"/>
      <c r="E1011" s="19"/>
      <c r="F1011" s="19"/>
    </row>
    <row r="1012">
      <c r="B1012" s="26"/>
      <c r="D1012" s="18"/>
      <c r="E1012" s="19"/>
      <c r="F1012" s="19"/>
    </row>
    <row r="1013">
      <c r="B1013" s="26"/>
      <c r="D1013" s="18"/>
      <c r="E1013" s="19"/>
      <c r="F1013" s="19"/>
    </row>
    <row r="1014">
      <c r="B1014" s="26"/>
      <c r="D1014" s="18"/>
      <c r="E1014" s="19"/>
      <c r="F1014" s="19"/>
    </row>
    <row r="1015">
      <c r="B1015" s="26"/>
      <c r="D1015" s="18"/>
      <c r="E1015" s="19"/>
      <c r="F1015" s="19"/>
    </row>
    <row r="1016">
      <c r="B1016" s="26"/>
      <c r="D1016" s="18"/>
      <c r="E1016" s="19"/>
      <c r="F1016" s="19"/>
    </row>
    <row r="1017">
      <c r="B1017" s="26"/>
      <c r="D1017" s="18"/>
      <c r="E1017" s="19"/>
      <c r="F1017" s="19"/>
    </row>
    <row r="1018">
      <c r="B1018" s="26"/>
      <c r="D1018" s="18"/>
      <c r="E1018" s="19"/>
      <c r="F1018" s="19"/>
    </row>
    <row r="1019">
      <c r="B1019" s="26"/>
      <c r="D1019" s="18"/>
      <c r="E1019" s="19"/>
      <c r="F1019" s="19"/>
    </row>
    <row r="1020">
      <c r="B1020" s="26"/>
      <c r="D1020" s="18"/>
      <c r="E1020" s="19"/>
      <c r="F1020" s="19"/>
    </row>
    <row r="1021">
      <c r="B1021" s="26"/>
      <c r="D1021" s="18"/>
      <c r="E1021" s="19"/>
      <c r="F1021" s="19"/>
    </row>
    <row r="1022">
      <c r="B1022" s="26"/>
      <c r="D1022" s="18"/>
      <c r="E1022" s="19"/>
      <c r="F1022" s="19"/>
    </row>
    <row r="1023">
      <c r="B1023" s="26"/>
      <c r="D1023" s="18"/>
      <c r="E1023" s="19"/>
      <c r="F1023" s="19"/>
    </row>
    <row r="1024">
      <c r="B1024" s="26"/>
      <c r="D1024" s="18"/>
      <c r="E1024" s="19"/>
      <c r="F1024" s="19"/>
    </row>
    <row r="1025">
      <c r="B1025" s="26"/>
      <c r="D1025" s="18"/>
      <c r="E1025" s="19"/>
      <c r="F1025" s="19"/>
    </row>
    <row r="1026">
      <c r="B1026" s="26"/>
      <c r="D1026" s="18"/>
      <c r="E1026" s="19"/>
      <c r="F1026" s="19"/>
    </row>
    <row r="1027">
      <c r="B1027" s="26"/>
      <c r="D1027" s="18"/>
      <c r="E1027" s="19"/>
      <c r="F1027" s="19"/>
    </row>
    <row r="1028">
      <c r="B1028" s="26"/>
      <c r="D1028" s="18"/>
      <c r="E1028" s="19"/>
      <c r="F1028" s="19"/>
    </row>
    <row r="1029">
      <c r="B1029" s="26"/>
      <c r="D1029" s="18"/>
      <c r="E1029" s="19"/>
      <c r="F1029" s="19"/>
    </row>
    <row r="1030">
      <c r="B1030" s="26"/>
      <c r="D1030" s="18"/>
      <c r="E1030" s="19"/>
      <c r="F1030" s="19"/>
    </row>
    <row r="1031">
      <c r="B1031" s="26"/>
      <c r="D1031" s="18"/>
      <c r="E1031" s="19"/>
      <c r="F1031" s="19"/>
    </row>
    <row r="1032">
      <c r="B1032" s="26"/>
      <c r="D1032" s="18"/>
      <c r="E1032" s="19"/>
      <c r="F1032" s="19"/>
    </row>
    <row r="1033">
      <c r="B1033" s="26"/>
      <c r="D1033" s="18"/>
      <c r="E1033" s="19"/>
      <c r="F1033" s="19"/>
    </row>
    <row r="1034">
      <c r="B1034" s="26"/>
      <c r="D1034" s="18"/>
      <c r="E1034" s="19"/>
      <c r="F1034" s="19"/>
    </row>
    <row r="1035">
      <c r="B1035" s="26"/>
      <c r="D1035" s="18"/>
      <c r="E1035" s="19"/>
      <c r="F1035" s="19"/>
    </row>
    <row r="1036">
      <c r="B1036" s="26"/>
      <c r="D1036" s="18"/>
      <c r="E1036" s="19"/>
      <c r="F1036" s="19"/>
    </row>
    <row r="1037">
      <c r="B1037" s="26"/>
      <c r="D1037" s="18"/>
      <c r="E1037" s="19"/>
      <c r="F1037" s="19"/>
    </row>
    <row r="1038">
      <c r="B1038" s="26"/>
      <c r="D1038" s="18"/>
      <c r="E1038" s="19"/>
      <c r="F1038" s="19"/>
    </row>
    <row r="1039">
      <c r="B1039" s="26"/>
      <c r="D1039" s="18"/>
      <c r="E1039" s="19"/>
      <c r="F1039" s="19"/>
    </row>
    <row r="1040">
      <c r="B1040" s="26"/>
      <c r="D1040" s="18"/>
      <c r="E1040" s="19"/>
      <c r="F1040" s="19"/>
    </row>
    <row r="1041">
      <c r="B1041" s="26"/>
      <c r="D1041" s="18"/>
      <c r="E1041" s="19"/>
      <c r="F1041" s="19"/>
    </row>
    <row r="1042">
      <c r="B1042" s="26"/>
      <c r="D1042" s="18"/>
      <c r="E1042" s="19"/>
      <c r="F1042" s="19"/>
    </row>
    <row r="1043">
      <c r="B1043" s="26"/>
      <c r="D1043" s="18"/>
      <c r="E1043" s="19"/>
      <c r="F1043" s="19"/>
    </row>
    <row r="1044">
      <c r="B1044" s="26"/>
      <c r="D1044" s="18"/>
      <c r="E1044" s="19"/>
      <c r="F1044"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2" width="13.63"/>
    <col customWidth="1" min="3" max="3" width="28.63"/>
    <col customWidth="1" min="4" max="4" width="9.13"/>
    <col customWidth="1" min="5" max="5" width="6.5"/>
    <col customWidth="1" min="6" max="6" width="6.75"/>
    <col customWidth="1" min="7" max="7" width="126.13"/>
  </cols>
  <sheetData>
    <row r="1" ht="38.25" customHeight="1">
      <c r="A1" s="1">
        <f>SUM(A3:A78)</f>
        <v>1027</v>
      </c>
      <c r="B1" s="2" t="s">
        <v>0</v>
      </c>
      <c r="C1" s="36">
        <f>SUM(F3:F100)</f>
        <v>135</v>
      </c>
      <c r="D1" s="55"/>
      <c r="E1" s="4"/>
      <c r="F1" s="4"/>
      <c r="G1" s="5" t="s">
        <v>1</v>
      </c>
    </row>
    <row r="2">
      <c r="A2" s="43" t="s">
        <v>2</v>
      </c>
      <c r="B2" s="44" t="s">
        <v>3</v>
      </c>
      <c r="C2" s="45" t="s">
        <v>4</v>
      </c>
      <c r="D2" s="46" t="s">
        <v>379</v>
      </c>
      <c r="E2" s="45" t="s">
        <v>6</v>
      </c>
      <c r="F2" s="45" t="s">
        <v>234</v>
      </c>
      <c r="G2" s="47" t="s">
        <v>8</v>
      </c>
    </row>
    <row r="3">
      <c r="A3" s="56"/>
      <c r="B3" s="57"/>
      <c r="C3" s="58"/>
      <c r="D3" s="59"/>
      <c r="E3" s="22"/>
      <c r="F3" s="22"/>
      <c r="G3" s="25"/>
    </row>
    <row r="4">
      <c r="A4" s="11">
        <f t="shared" ref="A4:A14" si="1">E4*F4</f>
        <v>0</v>
      </c>
      <c r="B4" s="54"/>
      <c r="C4" s="49"/>
      <c r="D4" s="50"/>
      <c r="E4" s="30"/>
      <c r="F4" s="30"/>
      <c r="G4" s="28"/>
    </row>
    <row r="5">
      <c r="A5" s="11">
        <f t="shared" si="1"/>
        <v>3</v>
      </c>
      <c r="B5" s="54" t="s">
        <v>380</v>
      </c>
      <c r="C5" s="49" t="s">
        <v>29</v>
      </c>
      <c r="D5" s="50" t="s">
        <v>23</v>
      </c>
      <c r="E5" s="30">
        <v>3.0</v>
      </c>
      <c r="F5" s="30">
        <v>1.0</v>
      </c>
      <c r="G5" s="28" t="s">
        <v>381</v>
      </c>
    </row>
    <row r="6">
      <c r="A6" s="11">
        <f t="shared" si="1"/>
        <v>7</v>
      </c>
      <c r="B6" s="54">
        <v>44816.0</v>
      </c>
      <c r="C6" s="49" t="s">
        <v>111</v>
      </c>
      <c r="D6" s="50" t="s">
        <v>23</v>
      </c>
      <c r="E6" s="30">
        <v>7.0</v>
      </c>
      <c r="F6" s="30">
        <v>1.0</v>
      </c>
      <c r="G6" s="28" t="s">
        <v>382</v>
      </c>
    </row>
    <row r="7">
      <c r="A7" s="11">
        <f t="shared" si="1"/>
        <v>5</v>
      </c>
      <c r="B7" s="54">
        <v>44573.0</v>
      </c>
      <c r="C7" s="49" t="s">
        <v>111</v>
      </c>
      <c r="D7" s="50" t="s">
        <v>23</v>
      </c>
      <c r="E7" s="30">
        <v>5.0</v>
      </c>
      <c r="F7" s="30">
        <v>1.0</v>
      </c>
      <c r="G7" s="28" t="s">
        <v>383</v>
      </c>
    </row>
    <row r="8">
      <c r="A8" s="11">
        <f t="shared" si="1"/>
        <v>7</v>
      </c>
      <c r="B8" s="54" t="s">
        <v>384</v>
      </c>
      <c r="C8" s="49" t="s">
        <v>29</v>
      </c>
      <c r="D8" s="50" t="s">
        <v>23</v>
      </c>
      <c r="E8" s="30">
        <v>7.0</v>
      </c>
      <c r="F8" s="30">
        <v>1.0</v>
      </c>
      <c r="G8" s="28" t="s">
        <v>385</v>
      </c>
    </row>
    <row r="9">
      <c r="A9" s="11">
        <f t="shared" si="1"/>
        <v>3</v>
      </c>
      <c r="B9" s="54" t="s">
        <v>386</v>
      </c>
      <c r="C9" s="49" t="s">
        <v>387</v>
      </c>
      <c r="D9" s="50" t="s">
        <v>23</v>
      </c>
      <c r="E9" s="30">
        <v>3.0</v>
      </c>
      <c r="F9" s="30">
        <v>1.0</v>
      </c>
      <c r="G9" s="28" t="s">
        <v>388</v>
      </c>
    </row>
    <row r="10">
      <c r="A10" s="11">
        <f t="shared" si="1"/>
        <v>3</v>
      </c>
      <c r="B10" s="54">
        <v>44692.0</v>
      </c>
      <c r="C10" s="49" t="s">
        <v>166</v>
      </c>
      <c r="D10" s="50" t="s">
        <v>23</v>
      </c>
      <c r="E10" s="30">
        <v>3.0</v>
      </c>
      <c r="F10" s="30">
        <v>1.0</v>
      </c>
      <c r="G10" s="28" t="s">
        <v>389</v>
      </c>
    </row>
    <row r="11">
      <c r="A11" s="11">
        <f t="shared" si="1"/>
        <v>18</v>
      </c>
      <c r="B11" s="54" t="s">
        <v>390</v>
      </c>
      <c r="C11" s="49" t="s">
        <v>391</v>
      </c>
      <c r="D11" s="50" t="s">
        <v>392</v>
      </c>
      <c r="E11" s="30">
        <v>3.0</v>
      </c>
      <c r="F11" s="30">
        <v>6.0</v>
      </c>
      <c r="G11" s="28" t="s">
        <v>393</v>
      </c>
    </row>
    <row r="12">
      <c r="A12" s="11">
        <f t="shared" si="1"/>
        <v>11</v>
      </c>
      <c r="B12" s="54" t="s">
        <v>394</v>
      </c>
      <c r="C12" s="49" t="s">
        <v>29</v>
      </c>
      <c r="D12" s="50" t="s">
        <v>23</v>
      </c>
      <c r="E12" s="30">
        <v>11.0</v>
      </c>
      <c r="F12" s="30">
        <v>1.0</v>
      </c>
      <c r="G12" s="28" t="s">
        <v>395</v>
      </c>
    </row>
    <row r="13">
      <c r="A13" s="11">
        <f t="shared" si="1"/>
        <v>7</v>
      </c>
      <c r="B13" s="54" t="s">
        <v>396</v>
      </c>
      <c r="C13" s="49" t="s">
        <v>214</v>
      </c>
      <c r="D13" s="50" t="s">
        <v>23</v>
      </c>
      <c r="E13" s="30">
        <v>7.0</v>
      </c>
      <c r="F13" s="30">
        <v>1.0</v>
      </c>
      <c r="G13" s="28" t="s">
        <v>397</v>
      </c>
    </row>
    <row r="14">
      <c r="A14" s="11">
        <f t="shared" si="1"/>
        <v>12</v>
      </c>
      <c r="B14" s="54" t="s">
        <v>398</v>
      </c>
      <c r="C14" s="49" t="s">
        <v>29</v>
      </c>
      <c r="D14" s="50" t="s">
        <v>23</v>
      </c>
      <c r="E14" s="30">
        <v>12.0</v>
      </c>
      <c r="F14" s="30">
        <v>1.0</v>
      </c>
      <c r="G14" s="28" t="s">
        <v>399</v>
      </c>
    </row>
    <row r="15">
      <c r="A15" s="11">
        <v>4.0</v>
      </c>
      <c r="B15" s="54" t="s">
        <v>400</v>
      </c>
      <c r="C15" s="49" t="s">
        <v>318</v>
      </c>
      <c r="D15" s="50" t="s">
        <v>87</v>
      </c>
      <c r="E15" s="30">
        <v>4.0</v>
      </c>
      <c r="F15" s="30">
        <v>1.0</v>
      </c>
      <c r="G15" s="28" t="s">
        <v>401</v>
      </c>
    </row>
    <row r="16">
      <c r="A16" s="11">
        <f t="shared" ref="A16:A78" si="2">E16*F16</f>
        <v>3</v>
      </c>
      <c r="B16" s="54">
        <v>44875.0</v>
      </c>
      <c r="C16" s="49" t="s">
        <v>243</v>
      </c>
      <c r="D16" s="50" t="s">
        <v>23</v>
      </c>
      <c r="E16" s="30">
        <v>3.0</v>
      </c>
      <c r="F16" s="30">
        <v>1.0</v>
      </c>
      <c r="G16" s="28" t="s">
        <v>402</v>
      </c>
    </row>
    <row r="17">
      <c r="A17" s="11">
        <f t="shared" si="2"/>
        <v>11</v>
      </c>
      <c r="B17" s="54">
        <v>44814.0</v>
      </c>
      <c r="C17" s="49" t="s">
        <v>403</v>
      </c>
      <c r="D17" s="50" t="s">
        <v>247</v>
      </c>
      <c r="E17" s="30">
        <v>11.0</v>
      </c>
      <c r="F17" s="30">
        <v>1.0</v>
      </c>
      <c r="G17" s="28" t="s">
        <v>404</v>
      </c>
    </row>
    <row r="18">
      <c r="A18" s="11">
        <f t="shared" si="2"/>
        <v>6</v>
      </c>
      <c r="B18" s="54">
        <v>44783.0</v>
      </c>
      <c r="C18" s="49" t="s">
        <v>405</v>
      </c>
      <c r="D18" s="50" t="s">
        <v>247</v>
      </c>
      <c r="E18" s="30">
        <v>6.0</v>
      </c>
      <c r="F18" s="30">
        <v>1.0</v>
      </c>
      <c r="G18" s="28" t="s">
        <v>406</v>
      </c>
    </row>
    <row r="19">
      <c r="A19" s="11">
        <f t="shared" si="2"/>
        <v>5</v>
      </c>
      <c r="B19" s="54" t="s">
        <v>407</v>
      </c>
      <c r="C19" s="49" t="s">
        <v>140</v>
      </c>
      <c r="D19" s="50" t="s">
        <v>23</v>
      </c>
      <c r="E19" s="30">
        <v>5.0</v>
      </c>
      <c r="F19" s="30">
        <v>1.0</v>
      </c>
      <c r="G19" s="28" t="s">
        <v>408</v>
      </c>
    </row>
    <row r="20">
      <c r="A20" s="11">
        <f t="shared" si="2"/>
        <v>264</v>
      </c>
      <c r="B20" s="54" t="s">
        <v>409</v>
      </c>
      <c r="C20" s="49" t="s">
        <v>410</v>
      </c>
      <c r="D20" s="50" t="s">
        <v>392</v>
      </c>
      <c r="E20" s="30">
        <v>22.0</v>
      </c>
      <c r="F20" s="30">
        <v>12.0</v>
      </c>
      <c r="G20" s="28" t="s">
        <v>411</v>
      </c>
    </row>
    <row r="21">
      <c r="A21" s="11">
        <f t="shared" si="2"/>
        <v>6</v>
      </c>
      <c r="B21" s="54" t="s">
        <v>412</v>
      </c>
      <c r="C21" s="49" t="s">
        <v>214</v>
      </c>
      <c r="D21" s="50" t="s">
        <v>273</v>
      </c>
      <c r="E21" s="30">
        <v>6.0</v>
      </c>
      <c r="F21" s="30">
        <v>1.0</v>
      </c>
      <c r="G21" s="28" t="s">
        <v>413</v>
      </c>
    </row>
    <row r="22">
      <c r="A22" s="11">
        <f t="shared" si="2"/>
        <v>2</v>
      </c>
      <c r="B22" s="54">
        <v>44843.0</v>
      </c>
      <c r="C22" s="49" t="s">
        <v>36</v>
      </c>
      <c r="D22" s="50" t="s">
        <v>78</v>
      </c>
      <c r="E22" s="30">
        <v>2.0</v>
      </c>
      <c r="F22" s="30">
        <v>1.0</v>
      </c>
      <c r="G22" s="28" t="s">
        <v>414</v>
      </c>
    </row>
    <row r="23">
      <c r="A23" s="11">
        <f t="shared" si="2"/>
        <v>2</v>
      </c>
      <c r="B23" s="54">
        <v>44690.0</v>
      </c>
      <c r="C23" s="49" t="s">
        <v>29</v>
      </c>
      <c r="D23" s="50" t="s">
        <v>87</v>
      </c>
      <c r="E23" s="30">
        <v>2.0</v>
      </c>
      <c r="F23" s="30">
        <v>1.0</v>
      </c>
      <c r="G23" s="28" t="s">
        <v>415</v>
      </c>
    </row>
    <row r="24">
      <c r="A24" s="11">
        <f t="shared" si="2"/>
        <v>3</v>
      </c>
      <c r="B24" s="60" t="s">
        <v>416</v>
      </c>
      <c r="C24" s="49" t="s">
        <v>302</v>
      </c>
      <c r="D24" s="50" t="s">
        <v>392</v>
      </c>
      <c r="E24" s="61">
        <v>3.0</v>
      </c>
      <c r="F24" s="61">
        <v>1.0</v>
      </c>
      <c r="G24" s="62" t="s">
        <v>417</v>
      </c>
    </row>
    <row r="25">
      <c r="A25" s="11">
        <f t="shared" si="2"/>
        <v>2</v>
      </c>
      <c r="B25" s="60" t="s">
        <v>418</v>
      </c>
      <c r="C25" s="49" t="s">
        <v>299</v>
      </c>
      <c r="D25" s="50" t="s">
        <v>419</v>
      </c>
      <c r="E25" s="61">
        <v>2.0</v>
      </c>
      <c r="F25" s="61">
        <v>1.0</v>
      </c>
      <c r="G25" s="62" t="s">
        <v>420</v>
      </c>
    </row>
    <row r="26">
      <c r="A26" s="11">
        <f t="shared" si="2"/>
        <v>10</v>
      </c>
      <c r="B26" s="60" t="s">
        <v>421</v>
      </c>
      <c r="C26" s="49" t="s">
        <v>17</v>
      </c>
      <c r="D26" s="50" t="s">
        <v>422</v>
      </c>
      <c r="E26" s="61">
        <v>10.0</v>
      </c>
      <c r="F26" s="61">
        <v>1.0</v>
      </c>
      <c r="G26" s="62" t="s">
        <v>423</v>
      </c>
    </row>
    <row r="27">
      <c r="A27" s="11">
        <f t="shared" si="2"/>
        <v>4</v>
      </c>
      <c r="B27" s="60">
        <v>44812.0</v>
      </c>
      <c r="C27" s="49" t="s">
        <v>72</v>
      </c>
      <c r="D27" s="50" t="s">
        <v>23</v>
      </c>
      <c r="E27" s="61">
        <v>4.0</v>
      </c>
      <c r="F27" s="61">
        <v>1.0</v>
      </c>
      <c r="G27" s="62" t="s">
        <v>424</v>
      </c>
    </row>
    <row r="28">
      <c r="A28" s="11">
        <f t="shared" si="2"/>
        <v>4</v>
      </c>
      <c r="B28" s="60">
        <v>44569.0</v>
      </c>
      <c r="C28" s="49" t="s">
        <v>425</v>
      </c>
      <c r="D28" s="50" t="s">
        <v>23</v>
      </c>
      <c r="E28" s="61">
        <v>4.0</v>
      </c>
      <c r="F28" s="61">
        <v>1.0</v>
      </c>
      <c r="G28" s="62" t="s">
        <v>426</v>
      </c>
    </row>
    <row r="29">
      <c r="A29" s="11">
        <f t="shared" si="2"/>
        <v>3</v>
      </c>
      <c r="B29" s="60" t="s">
        <v>427</v>
      </c>
      <c r="C29" s="49" t="s">
        <v>276</v>
      </c>
      <c r="D29" s="50" t="s">
        <v>254</v>
      </c>
      <c r="E29" s="61">
        <v>3.0</v>
      </c>
      <c r="F29" s="61">
        <v>1.0</v>
      </c>
      <c r="G29" s="62" t="s">
        <v>428</v>
      </c>
    </row>
    <row r="30">
      <c r="A30" s="11">
        <f t="shared" si="2"/>
        <v>6</v>
      </c>
      <c r="B30" s="60" t="s">
        <v>429</v>
      </c>
      <c r="C30" s="49" t="s">
        <v>29</v>
      </c>
      <c r="D30" s="50" t="s">
        <v>23</v>
      </c>
      <c r="E30" s="61">
        <v>6.0</v>
      </c>
      <c r="F30" s="61">
        <v>1.0</v>
      </c>
      <c r="G30" s="62" t="s">
        <v>430</v>
      </c>
    </row>
    <row r="31">
      <c r="A31" s="11">
        <f t="shared" si="2"/>
        <v>3</v>
      </c>
      <c r="B31" s="60" t="s">
        <v>431</v>
      </c>
      <c r="C31" s="49" t="s">
        <v>250</v>
      </c>
      <c r="D31" s="50" t="s">
        <v>23</v>
      </c>
      <c r="E31" s="61">
        <v>3.0</v>
      </c>
      <c r="F31" s="61">
        <v>1.0</v>
      </c>
      <c r="G31" s="62" t="s">
        <v>432</v>
      </c>
    </row>
    <row r="32">
      <c r="A32" s="11">
        <f t="shared" si="2"/>
        <v>6</v>
      </c>
      <c r="B32" s="60">
        <v>44872.0</v>
      </c>
      <c r="C32" s="49" t="s">
        <v>72</v>
      </c>
      <c r="D32" s="50" t="s">
        <v>433</v>
      </c>
      <c r="E32" s="61">
        <v>6.0</v>
      </c>
      <c r="F32" s="61">
        <v>1.0</v>
      </c>
      <c r="G32" s="62" t="s">
        <v>434</v>
      </c>
    </row>
    <row r="33">
      <c r="A33" s="11">
        <f t="shared" si="2"/>
        <v>3</v>
      </c>
      <c r="B33" s="60">
        <v>44841.0</v>
      </c>
      <c r="C33" s="49" t="s">
        <v>243</v>
      </c>
      <c r="D33" s="50" t="s">
        <v>435</v>
      </c>
      <c r="E33" s="61">
        <v>3.0</v>
      </c>
      <c r="F33" s="61">
        <v>1.0</v>
      </c>
      <c r="G33" s="62" t="s">
        <v>436</v>
      </c>
    </row>
    <row r="34">
      <c r="A34" s="11">
        <f t="shared" si="2"/>
        <v>5</v>
      </c>
      <c r="B34" s="60">
        <v>44780.0</v>
      </c>
      <c r="C34" s="49" t="s">
        <v>437</v>
      </c>
      <c r="D34" s="50" t="s">
        <v>254</v>
      </c>
      <c r="E34" s="61">
        <v>5.0</v>
      </c>
      <c r="F34" s="61">
        <v>1.0</v>
      </c>
      <c r="G34" s="62" t="s">
        <v>438</v>
      </c>
    </row>
    <row r="35">
      <c r="A35" s="11">
        <f t="shared" si="2"/>
        <v>98</v>
      </c>
      <c r="B35" s="60">
        <v>44599.0</v>
      </c>
      <c r="C35" s="49" t="s">
        <v>439</v>
      </c>
      <c r="D35" s="50" t="s">
        <v>440</v>
      </c>
      <c r="E35" s="61">
        <v>14.0</v>
      </c>
      <c r="F35" s="61">
        <v>7.0</v>
      </c>
      <c r="G35" s="62" t="s">
        <v>441</v>
      </c>
    </row>
    <row r="36">
      <c r="A36" s="11">
        <f t="shared" si="2"/>
        <v>98</v>
      </c>
      <c r="B36" s="60" t="s">
        <v>442</v>
      </c>
      <c r="C36" s="49" t="s">
        <v>284</v>
      </c>
      <c r="D36" s="50" t="s">
        <v>440</v>
      </c>
      <c r="E36" s="61">
        <v>14.0</v>
      </c>
      <c r="F36" s="61">
        <v>7.0</v>
      </c>
      <c r="G36" s="62" t="s">
        <v>443</v>
      </c>
    </row>
    <row r="37">
      <c r="A37" s="11">
        <f t="shared" si="2"/>
        <v>2</v>
      </c>
      <c r="B37" s="60" t="s">
        <v>444</v>
      </c>
      <c r="C37" s="49" t="s">
        <v>445</v>
      </c>
      <c r="D37" s="50" t="s">
        <v>91</v>
      </c>
      <c r="E37" s="61">
        <v>2.0</v>
      </c>
      <c r="F37" s="61">
        <v>1.0</v>
      </c>
      <c r="G37" s="62" t="s">
        <v>446</v>
      </c>
    </row>
    <row r="38">
      <c r="A38" s="11">
        <f t="shared" si="2"/>
        <v>2</v>
      </c>
      <c r="B38" s="60">
        <v>44901.0</v>
      </c>
      <c r="C38" s="49" t="s">
        <v>36</v>
      </c>
      <c r="D38" s="50" t="s">
        <v>447</v>
      </c>
      <c r="E38" s="61">
        <v>2.0</v>
      </c>
      <c r="F38" s="61">
        <v>1.0</v>
      </c>
      <c r="G38" s="62" t="s">
        <v>448</v>
      </c>
    </row>
    <row r="39">
      <c r="A39" s="11">
        <f t="shared" si="2"/>
        <v>6</v>
      </c>
      <c r="B39" s="60">
        <v>44871.0</v>
      </c>
      <c r="C39" s="49" t="s">
        <v>120</v>
      </c>
      <c r="D39" s="50" t="s">
        <v>23</v>
      </c>
      <c r="E39" s="61">
        <v>6.0</v>
      </c>
      <c r="F39" s="61">
        <v>1.0</v>
      </c>
      <c r="G39" s="62" t="s">
        <v>449</v>
      </c>
    </row>
    <row r="40">
      <c r="A40" s="11">
        <f t="shared" si="2"/>
        <v>8</v>
      </c>
      <c r="B40" s="60">
        <v>44718.0</v>
      </c>
      <c r="C40" s="49" t="s">
        <v>270</v>
      </c>
      <c r="D40" s="50" t="s">
        <v>23</v>
      </c>
      <c r="E40" s="61">
        <v>8.0</v>
      </c>
      <c r="F40" s="61">
        <v>1.0</v>
      </c>
      <c r="G40" s="62" t="s">
        <v>450</v>
      </c>
    </row>
    <row r="41">
      <c r="A41" s="11">
        <f t="shared" si="2"/>
        <v>42</v>
      </c>
      <c r="B41" s="60" t="s">
        <v>451</v>
      </c>
      <c r="C41" s="49" t="s">
        <v>452</v>
      </c>
      <c r="D41" s="50" t="s">
        <v>254</v>
      </c>
      <c r="E41" s="61">
        <v>6.0</v>
      </c>
      <c r="F41" s="61">
        <v>7.0</v>
      </c>
      <c r="G41" s="63" t="s">
        <v>453</v>
      </c>
    </row>
    <row r="42">
      <c r="A42" s="11">
        <f t="shared" si="2"/>
        <v>15</v>
      </c>
      <c r="B42" s="60" t="s">
        <v>454</v>
      </c>
      <c r="C42" s="49" t="s">
        <v>455</v>
      </c>
      <c r="D42" s="50" t="s">
        <v>456</v>
      </c>
      <c r="E42" s="61">
        <v>5.0</v>
      </c>
      <c r="F42" s="61">
        <v>3.0</v>
      </c>
      <c r="G42" s="63" t="s">
        <v>457</v>
      </c>
    </row>
    <row r="43">
      <c r="A43" s="11">
        <f t="shared" si="2"/>
        <v>3</v>
      </c>
      <c r="B43" s="60" t="s">
        <v>458</v>
      </c>
      <c r="C43" s="49" t="s">
        <v>425</v>
      </c>
      <c r="D43" s="50" t="s">
        <v>23</v>
      </c>
      <c r="E43" s="61">
        <v>3.0</v>
      </c>
      <c r="F43" s="61">
        <v>1.0</v>
      </c>
      <c r="G43" s="62" t="s">
        <v>459</v>
      </c>
    </row>
    <row r="44">
      <c r="A44" s="11">
        <f t="shared" si="2"/>
        <v>12</v>
      </c>
      <c r="B44" s="60" t="s">
        <v>460</v>
      </c>
      <c r="C44" s="49" t="s">
        <v>425</v>
      </c>
      <c r="D44" s="50" t="s">
        <v>23</v>
      </c>
      <c r="E44" s="61">
        <v>12.0</v>
      </c>
      <c r="F44" s="61">
        <v>1.0</v>
      </c>
      <c r="G44" s="63" t="s">
        <v>461</v>
      </c>
    </row>
    <row r="45">
      <c r="A45" s="11">
        <f t="shared" si="2"/>
        <v>42</v>
      </c>
      <c r="B45" s="60" t="s">
        <v>462</v>
      </c>
      <c r="C45" s="49" t="s">
        <v>452</v>
      </c>
      <c r="D45" s="50" t="s">
        <v>254</v>
      </c>
      <c r="E45" s="61">
        <v>6.0</v>
      </c>
      <c r="F45" s="61">
        <v>7.0</v>
      </c>
      <c r="G45" s="63" t="s">
        <v>463</v>
      </c>
    </row>
    <row r="46">
      <c r="A46" s="11">
        <f t="shared" si="2"/>
        <v>4</v>
      </c>
      <c r="B46" s="60" t="s">
        <v>464</v>
      </c>
      <c r="C46" s="49" t="s">
        <v>465</v>
      </c>
      <c r="D46" s="50" t="s">
        <v>18</v>
      </c>
      <c r="E46" s="61">
        <v>4.0</v>
      </c>
      <c r="F46" s="61">
        <v>1.0</v>
      </c>
      <c r="G46" s="63" t="s">
        <v>466</v>
      </c>
    </row>
    <row r="47">
      <c r="A47" s="11">
        <f t="shared" si="2"/>
        <v>2</v>
      </c>
      <c r="B47" s="60">
        <v>44839.0</v>
      </c>
      <c r="C47" s="49" t="s">
        <v>467</v>
      </c>
      <c r="D47" s="50" t="s">
        <v>254</v>
      </c>
      <c r="E47" s="61">
        <v>2.0</v>
      </c>
      <c r="F47" s="61">
        <v>1.0</v>
      </c>
      <c r="G47" s="63" t="s">
        <v>468</v>
      </c>
    </row>
    <row r="48">
      <c r="A48" s="11">
        <f t="shared" si="2"/>
        <v>8</v>
      </c>
      <c r="B48" s="60">
        <v>44778.0</v>
      </c>
      <c r="C48" s="49" t="s">
        <v>243</v>
      </c>
      <c r="D48" s="50" t="s">
        <v>247</v>
      </c>
      <c r="E48" s="61">
        <v>8.0</v>
      </c>
      <c r="F48" s="61">
        <v>1.0</v>
      </c>
      <c r="G48" s="63" t="s">
        <v>469</v>
      </c>
    </row>
    <row r="49">
      <c r="A49" s="11">
        <f t="shared" si="2"/>
        <v>6</v>
      </c>
      <c r="B49" s="60">
        <v>44717.0</v>
      </c>
      <c r="C49" s="49" t="s">
        <v>250</v>
      </c>
      <c r="D49" s="50" t="s">
        <v>23</v>
      </c>
      <c r="E49" s="61">
        <v>6.0</v>
      </c>
      <c r="F49" s="61">
        <v>1.0</v>
      </c>
      <c r="G49" s="63" t="s">
        <v>470</v>
      </c>
    </row>
    <row r="50">
      <c r="A50" s="11">
        <f t="shared" si="2"/>
        <v>3</v>
      </c>
      <c r="B50" s="60">
        <v>44625.0</v>
      </c>
      <c r="C50" s="49" t="s">
        <v>250</v>
      </c>
      <c r="D50" s="50" t="s">
        <v>23</v>
      </c>
      <c r="E50" s="61">
        <v>3.0</v>
      </c>
      <c r="F50" s="61">
        <v>1.0</v>
      </c>
      <c r="G50" s="63" t="s">
        <v>471</v>
      </c>
    </row>
    <row r="51">
      <c r="A51" s="11">
        <f t="shared" si="2"/>
        <v>56</v>
      </c>
      <c r="B51" s="60" t="s">
        <v>472</v>
      </c>
      <c r="C51" s="49" t="s">
        <v>473</v>
      </c>
      <c r="D51" s="50" t="s">
        <v>474</v>
      </c>
      <c r="E51" s="61">
        <v>7.0</v>
      </c>
      <c r="F51" s="61">
        <v>8.0</v>
      </c>
      <c r="G51" s="62" t="s">
        <v>475</v>
      </c>
    </row>
    <row r="52">
      <c r="A52" s="11">
        <f t="shared" si="2"/>
        <v>3</v>
      </c>
      <c r="B52" s="60" t="s">
        <v>476</v>
      </c>
      <c r="C52" s="49" t="s">
        <v>250</v>
      </c>
      <c r="D52" s="50" t="s">
        <v>23</v>
      </c>
      <c r="E52" s="61">
        <v>3.0</v>
      </c>
      <c r="F52" s="61">
        <v>1.0</v>
      </c>
      <c r="G52" s="63" t="s">
        <v>477</v>
      </c>
    </row>
    <row r="53">
      <c r="A53" s="11">
        <f t="shared" si="2"/>
        <v>4</v>
      </c>
      <c r="B53" s="60" t="s">
        <v>478</v>
      </c>
      <c r="C53" s="49" t="s">
        <v>72</v>
      </c>
      <c r="D53" s="50" t="s">
        <v>23</v>
      </c>
      <c r="E53" s="61">
        <v>4.0</v>
      </c>
      <c r="F53" s="61">
        <v>1.0</v>
      </c>
      <c r="G53" s="63" t="s">
        <v>479</v>
      </c>
    </row>
    <row r="54">
      <c r="A54" s="11">
        <f t="shared" si="2"/>
        <v>40</v>
      </c>
      <c r="B54" s="60" t="s">
        <v>480</v>
      </c>
      <c r="C54" s="49" t="s">
        <v>481</v>
      </c>
      <c r="D54" s="50" t="s">
        <v>482</v>
      </c>
      <c r="E54" s="61">
        <v>8.0</v>
      </c>
      <c r="F54" s="61">
        <v>5.0</v>
      </c>
      <c r="G54" s="63" t="s">
        <v>483</v>
      </c>
    </row>
    <row r="55">
      <c r="A55" s="11">
        <f t="shared" si="2"/>
        <v>5</v>
      </c>
      <c r="B55" s="60" t="s">
        <v>484</v>
      </c>
      <c r="C55" s="49" t="s">
        <v>243</v>
      </c>
      <c r="D55" s="50" t="s">
        <v>23</v>
      </c>
      <c r="E55" s="61">
        <v>5.0</v>
      </c>
      <c r="F55" s="61">
        <v>1.0</v>
      </c>
      <c r="G55" s="63" t="s">
        <v>485</v>
      </c>
    </row>
    <row r="56">
      <c r="A56" s="11">
        <f t="shared" si="2"/>
        <v>15</v>
      </c>
      <c r="B56" s="60" t="s">
        <v>486</v>
      </c>
      <c r="C56" s="49" t="s">
        <v>455</v>
      </c>
      <c r="D56" s="50" t="s">
        <v>482</v>
      </c>
      <c r="E56" s="61">
        <v>5.0</v>
      </c>
      <c r="F56" s="61">
        <v>3.0</v>
      </c>
      <c r="G56" s="64" t="s">
        <v>487</v>
      </c>
    </row>
    <row r="57">
      <c r="A57" s="11">
        <f t="shared" si="2"/>
        <v>4</v>
      </c>
      <c r="B57" s="60">
        <v>44899.0</v>
      </c>
      <c r="C57" s="49" t="s">
        <v>29</v>
      </c>
      <c r="D57" s="50" t="s">
        <v>23</v>
      </c>
      <c r="E57" s="61">
        <v>4.0</v>
      </c>
      <c r="F57" s="61">
        <v>1.0</v>
      </c>
      <c r="G57" s="64" t="s">
        <v>488</v>
      </c>
    </row>
    <row r="58">
      <c r="A58" s="11">
        <f t="shared" si="2"/>
        <v>13</v>
      </c>
      <c r="B58" s="65">
        <v>44808.0</v>
      </c>
      <c r="C58" s="49" t="s">
        <v>36</v>
      </c>
      <c r="D58" s="50" t="s">
        <v>23</v>
      </c>
      <c r="E58" s="61">
        <v>13.0</v>
      </c>
      <c r="F58" s="61">
        <v>1.0</v>
      </c>
      <c r="G58" s="64" t="s">
        <v>489</v>
      </c>
    </row>
    <row r="59">
      <c r="A59" s="11">
        <f t="shared" si="2"/>
        <v>5</v>
      </c>
      <c r="B59" s="60">
        <v>44655.0</v>
      </c>
      <c r="C59" s="49" t="s">
        <v>270</v>
      </c>
      <c r="D59" s="50" t="s">
        <v>23</v>
      </c>
      <c r="E59" s="61">
        <v>5.0</v>
      </c>
      <c r="F59" s="61">
        <v>1.0</v>
      </c>
      <c r="G59" s="64" t="s">
        <v>490</v>
      </c>
    </row>
    <row r="60">
      <c r="A60" s="11">
        <f t="shared" si="2"/>
        <v>4</v>
      </c>
      <c r="B60" s="60">
        <v>44624.0</v>
      </c>
      <c r="C60" s="49" t="s">
        <v>491</v>
      </c>
      <c r="D60" s="50" t="s">
        <v>23</v>
      </c>
      <c r="E60" s="61">
        <v>4.0</v>
      </c>
      <c r="F60" s="61">
        <v>1.0</v>
      </c>
      <c r="G60" s="64" t="s">
        <v>492</v>
      </c>
    </row>
    <row r="61">
      <c r="A61" s="11">
        <f t="shared" si="2"/>
        <v>21</v>
      </c>
      <c r="B61" s="60" t="s">
        <v>493</v>
      </c>
      <c r="C61" s="49" t="s">
        <v>494</v>
      </c>
      <c r="D61" s="50" t="s">
        <v>254</v>
      </c>
      <c r="E61" s="61">
        <v>3.0</v>
      </c>
      <c r="F61" s="61">
        <v>7.0</v>
      </c>
      <c r="G61" s="63" t="s">
        <v>495</v>
      </c>
    </row>
    <row r="62">
      <c r="A62" s="11">
        <f t="shared" si="2"/>
        <v>3</v>
      </c>
      <c r="B62" s="60" t="s">
        <v>496</v>
      </c>
      <c r="C62" s="49" t="s">
        <v>72</v>
      </c>
      <c r="D62" s="50" t="s">
        <v>497</v>
      </c>
      <c r="E62" s="61">
        <v>3.0</v>
      </c>
      <c r="F62" s="61">
        <v>1.0</v>
      </c>
      <c r="G62" s="64" t="s">
        <v>498</v>
      </c>
    </row>
    <row r="63">
      <c r="A63" s="11">
        <f t="shared" si="2"/>
        <v>3</v>
      </c>
      <c r="B63" s="60" t="s">
        <v>499</v>
      </c>
      <c r="C63" s="49" t="s">
        <v>41</v>
      </c>
      <c r="D63" s="50" t="s">
        <v>78</v>
      </c>
      <c r="E63" s="61">
        <v>3.0</v>
      </c>
      <c r="F63" s="61">
        <v>1.0</v>
      </c>
      <c r="G63" s="64" t="s">
        <v>500</v>
      </c>
    </row>
    <row r="64">
      <c r="A64" s="11">
        <f t="shared" si="2"/>
        <v>8</v>
      </c>
      <c r="B64" s="60" t="s">
        <v>501</v>
      </c>
      <c r="C64" s="49" t="s">
        <v>41</v>
      </c>
      <c r="D64" s="50" t="s">
        <v>502</v>
      </c>
      <c r="E64" s="61">
        <v>8.0</v>
      </c>
      <c r="F64" s="61">
        <v>1.0</v>
      </c>
      <c r="G64" s="64" t="s">
        <v>503</v>
      </c>
    </row>
    <row r="65">
      <c r="A65" s="11">
        <f t="shared" si="2"/>
        <v>10</v>
      </c>
      <c r="B65" s="60" t="s">
        <v>504</v>
      </c>
      <c r="C65" s="49" t="s">
        <v>505</v>
      </c>
      <c r="D65" s="50" t="s">
        <v>23</v>
      </c>
      <c r="E65" s="61">
        <v>10.0</v>
      </c>
      <c r="F65" s="61">
        <v>1.0</v>
      </c>
      <c r="G65" s="64" t="s">
        <v>506</v>
      </c>
    </row>
    <row r="66">
      <c r="A66" s="11">
        <f t="shared" si="2"/>
        <v>3</v>
      </c>
      <c r="B66" s="60">
        <v>44837.0</v>
      </c>
      <c r="C66" s="49" t="s">
        <v>505</v>
      </c>
      <c r="D66" s="50" t="s">
        <v>23</v>
      </c>
      <c r="E66" s="61">
        <v>3.0</v>
      </c>
      <c r="F66" s="61">
        <v>1.0</v>
      </c>
      <c r="G66" s="64" t="s">
        <v>507</v>
      </c>
    </row>
    <row r="67">
      <c r="A67" s="11">
        <f t="shared" si="2"/>
        <v>2</v>
      </c>
      <c r="B67" s="60">
        <v>44776.0</v>
      </c>
      <c r="C67" s="49" t="s">
        <v>505</v>
      </c>
      <c r="D67" s="50" t="s">
        <v>508</v>
      </c>
      <c r="E67" s="61">
        <v>2.0</v>
      </c>
      <c r="F67" s="61">
        <v>1.0</v>
      </c>
      <c r="G67" s="64" t="s">
        <v>509</v>
      </c>
    </row>
    <row r="68">
      <c r="A68" s="11">
        <f t="shared" si="2"/>
        <v>5</v>
      </c>
      <c r="B68" s="60">
        <v>44715.0</v>
      </c>
      <c r="C68" s="49" t="s">
        <v>72</v>
      </c>
      <c r="D68" s="50" t="s">
        <v>23</v>
      </c>
      <c r="E68" s="61">
        <v>5.0</v>
      </c>
      <c r="F68" s="61">
        <v>1.0</v>
      </c>
      <c r="G68" s="64" t="s">
        <v>510</v>
      </c>
    </row>
    <row r="69">
      <c r="A69" s="11">
        <f t="shared" si="2"/>
        <v>5</v>
      </c>
      <c r="B69" s="60">
        <v>44684.0</v>
      </c>
      <c r="C69" s="49" t="s">
        <v>41</v>
      </c>
      <c r="D69" s="50" t="s">
        <v>23</v>
      </c>
      <c r="E69" s="61">
        <v>5.0</v>
      </c>
      <c r="F69" s="61">
        <v>1.0</v>
      </c>
      <c r="G69" s="62" t="s">
        <v>511</v>
      </c>
    </row>
    <row r="70">
      <c r="A70" s="11">
        <f t="shared" si="2"/>
        <v>5</v>
      </c>
      <c r="B70" s="60">
        <v>44654.0</v>
      </c>
      <c r="C70" s="49" t="s">
        <v>72</v>
      </c>
      <c r="D70" s="50" t="s">
        <v>247</v>
      </c>
      <c r="E70" s="61">
        <v>5.0</v>
      </c>
      <c r="F70" s="61">
        <v>1.0</v>
      </c>
      <c r="G70" s="62" t="s">
        <v>512</v>
      </c>
    </row>
    <row r="71">
      <c r="A71" s="11">
        <f t="shared" si="2"/>
        <v>3</v>
      </c>
      <c r="B71" s="60" t="s">
        <v>513</v>
      </c>
      <c r="C71" s="49" t="s">
        <v>22</v>
      </c>
      <c r="D71" s="50" t="s">
        <v>23</v>
      </c>
      <c r="E71" s="61">
        <v>3.0</v>
      </c>
      <c r="F71" s="61">
        <v>1.0</v>
      </c>
      <c r="G71" s="62" t="s">
        <v>514</v>
      </c>
    </row>
    <row r="72">
      <c r="A72" s="11">
        <f t="shared" si="2"/>
        <v>5</v>
      </c>
      <c r="B72" s="60" t="s">
        <v>515</v>
      </c>
      <c r="C72" s="49" t="s">
        <v>72</v>
      </c>
      <c r="D72" s="50" t="s">
        <v>42</v>
      </c>
      <c r="E72" s="61">
        <v>5.0</v>
      </c>
      <c r="F72" s="61">
        <v>1.0</v>
      </c>
      <c r="G72" s="62" t="s">
        <v>516</v>
      </c>
    </row>
    <row r="73">
      <c r="A73" s="11">
        <f t="shared" si="2"/>
        <v>3</v>
      </c>
      <c r="B73" s="60" t="s">
        <v>517</v>
      </c>
      <c r="C73" s="49" t="s">
        <v>270</v>
      </c>
      <c r="D73" s="50" t="s">
        <v>23</v>
      </c>
      <c r="E73" s="61">
        <v>3.0</v>
      </c>
      <c r="F73" s="61">
        <v>1.0</v>
      </c>
      <c r="G73" s="62" t="s">
        <v>518</v>
      </c>
    </row>
    <row r="74">
      <c r="A74" s="11">
        <f t="shared" si="2"/>
        <v>7</v>
      </c>
      <c r="B74" s="60">
        <v>44897.0</v>
      </c>
      <c r="C74" s="49" t="s">
        <v>214</v>
      </c>
      <c r="D74" s="50" t="s">
        <v>42</v>
      </c>
      <c r="E74" s="61">
        <v>7.0</v>
      </c>
      <c r="F74" s="61">
        <v>1.0</v>
      </c>
      <c r="G74" s="62" t="s">
        <v>519</v>
      </c>
    </row>
    <row r="75">
      <c r="A75" s="11">
        <f t="shared" si="2"/>
        <v>7</v>
      </c>
      <c r="B75" s="66">
        <v>44683.0</v>
      </c>
      <c r="C75" s="67" t="s">
        <v>276</v>
      </c>
      <c r="D75" s="68" t="s">
        <v>23</v>
      </c>
      <c r="E75" s="69">
        <v>7.0</v>
      </c>
      <c r="F75" s="69">
        <v>1.0</v>
      </c>
      <c r="G75" s="67" t="s">
        <v>520</v>
      </c>
    </row>
    <row r="76">
      <c r="A76" s="11">
        <f t="shared" si="2"/>
        <v>2</v>
      </c>
      <c r="B76" s="60" t="s">
        <v>521</v>
      </c>
      <c r="C76" s="49" t="s">
        <v>276</v>
      </c>
      <c r="D76" s="50" t="s">
        <v>23</v>
      </c>
      <c r="E76" s="61">
        <v>2.0</v>
      </c>
      <c r="F76" s="61">
        <v>1.0</v>
      </c>
      <c r="G76" s="62" t="s">
        <v>522</v>
      </c>
    </row>
    <row r="77">
      <c r="A77" s="11">
        <f t="shared" si="2"/>
        <v>3</v>
      </c>
      <c r="B77" s="60" t="s">
        <v>523</v>
      </c>
      <c r="C77" s="49" t="s">
        <v>140</v>
      </c>
      <c r="D77" s="50" t="s">
        <v>23</v>
      </c>
      <c r="E77" s="61">
        <v>3.0</v>
      </c>
      <c r="F77" s="61">
        <v>1.0</v>
      </c>
      <c r="G77" s="62" t="s">
        <v>524</v>
      </c>
    </row>
    <row r="78">
      <c r="A78" s="11">
        <f t="shared" si="2"/>
        <v>4</v>
      </c>
      <c r="B78" s="54">
        <v>44896.0</v>
      </c>
      <c r="C78" s="49" t="s">
        <v>111</v>
      </c>
      <c r="D78" s="50" t="s">
        <v>23</v>
      </c>
      <c r="E78" s="61">
        <v>4.0</v>
      </c>
      <c r="F78" s="61">
        <v>1.0</v>
      </c>
      <c r="G78" s="62" t="s">
        <v>525</v>
      </c>
    </row>
    <row r="79">
      <c r="B79" s="17"/>
      <c r="D79" s="18"/>
      <c r="E79" s="19"/>
      <c r="F79" s="19"/>
    </row>
    <row r="80">
      <c r="B80" s="17"/>
      <c r="D80" s="18"/>
      <c r="E80" s="19"/>
      <c r="F80" s="19"/>
    </row>
    <row r="81">
      <c r="B81" s="17"/>
      <c r="D81" s="18"/>
      <c r="E81" s="19"/>
      <c r="F81" s="19"/>
    </row>
    <row r="82">
      <c r="B82" s="17"/>
      <c r="D82" s="18"/>
      <c r="E82" s="19"/>
      <c r="F82" s="19"/>
    </row>
    <row r="83">
      <c r="B83" s="17"/>
      <c r="D83" s="18"/>
      <c r="E83" s="19"/>
      <c r="F83" s="19"/>
    </row>
    <row r="84">
      <c r="B84" s="17"/>
      <c r="D84" s="18"/>
      <c r="E84" s="19"/>
      <c r="F84" s="19"/>
    </row>
    <row r="85">
      <c r="B85" s="17"/>
      <c r="D85" s="18"/>
      <c r="E85" s="19"/>
      <c r="F85" s="19"/>
    </row>
    <row r="86">
      <c r="B86" s="17"/>
      <c r="D86" s="18"/>
      <c r="E86" s="19"/>
      <c r="F86" s="19"/>
    </row>
    <row r="87">
      <c r="B87" s="17"/>
      <c r="D87" s="18"/>
      <c r="E87" s="19"/>
      <c r="F87" s="19"/>
    </row>
    <row r="88">
      <c r="B88" s="17"/>
      <c r="D88" s="18"/>
      <c r="E88" s="19"/>
      <c r="F88" s="19"/>
    </row>
    <row r="89">
      <c r="B89" s="17"/>
      <c r="D89" s="18"/>
      <c r="E89" s="19"/>
      <c r="F89" s="19"/>
    </row>
    <row r="90">
      <c r="B90" s="17"/>
      <c r="D90" s="18"/>
      <c r="E90" s="19"/>
      <c r="F90" s="19"/>
    </row>
    <row r="91">
      <c r="B91" s="17"/>
      <c r="D91" s="18"/>
      <c r="E91" s="19"/>
      <c r="F91" s="19"/>
    </row>
    <row r="92">
      <c r="B92" s="17"/>
      <c r="D92" s="18"/>
      <c r="E92" s="19"/>
      <c r="F92" s="19"/>
    </row>
    <row r="93">
      <c r="B93" s="17"/>
      <c r="D93" s="18"/>
      <c r="E93" s="19"/>
      <c r="F93" s="19"/>
    </row>
    <row r="94">
      <c r="B94" s="17"/>
      <c r="D94" s="18"/>
      <c r="E94" s="19"/>
      <c r="F94" s="19"/>
    </row>
    <row r="95">
      <c r="B95" s="17"/>
      <c r="D95" s="18"/>
      <c r="E95" s="19"/>
      <c r="F95" s="19"/>
    </row>
    <row r="96">
      <c r="B96" s="17"/>
      <c r="D96" s="18"/>
      <c r="E96" s="19"/>
      <c r="F96" s="19"/>
    </row>
    <row r="97">
      <c r="B97" s="17"/>
      <c r="D97" s="18"/>
      <c r="E97" s="19"/>
      <c r="F97" s="19"/>
    </row>
    <row r="98">
      <c r="B98" s="17"/>
      <c r="D98" s="18"/>
      <c r="E98" s="19"/>
      <c r="F98" s="19"/>
    </row>
    <row r="99">
      <c r="B99" s="17"/>
      <c r="D99" s="18"/>
      <c r="E99" s="19"/>
      <c r="F99" s="19"/>
    </row>
    <row r="100">
      <c r="B100" s="17"/>
      <c r="D100" s="18"/>
      <c r="E100" s="19"/>
      <c r="F100" s="19"/>
    </row>
    <row r="101">
      <c r="B101" s="17"/>
      <c r="D101" s="18"/>
      <c r="E101" s="19"/>
      <c r="F101" s="19"/>
    </row>
    <row r="102">
      <c r="B102" s="17"/>
      <c r="D102" s="18"/>
      <c r="E102" s="19"/>
      <c r="F102" s="19"/>
    </row>
    <row r="103">
      <c r="A103" s="37">
        <f>SUM(A62:A78,A60,A59,A58,A57,A55,A53,A52,A50,A49,A47,A48,A46,A44,A43,A40,A39,A38,A37,A34,A33,A32,A31,A30,A29,A28,A27,A26,A25,A24,A23,A22,A21,A19,A18,A17,A16,A15,A14,A13,A12,A10,A9,A8,A7,A6,A5)</f>
        <v>318</v>
      </c>
      <c r="B103" s="21" t="s">
        <v>232</v>
      </c>
      <c r="C103" s="37" t="s">
        <v>526</v>
      </c>
      <c r="D103" s="70">
        <f>A103/56</f>
        <v>5.678571429</v>
      </c>
      <c r="E103" s="19"/>
      <c r="F103" s="19"/>
    </row>
    <row r="104">
      <c r="A104">
        <f>SUM(A51,A45,A41,A35,A36,A11,A20,A61)</f>
        <v>639</v>
      </c>
      <c r="B104" s="21" t="s">
        <v>231</v>
      </c>
      <c r="D104" s="18"/>
      <c r="E104" s="19"/>
      <c r="F104" s="19"/>
    </row>
    <row r="105">
      <c r="A105">
        <f>SUM(A56,A54,A42)</f>
        <v>70</v>
      </c>
      <c r="B105" s="21" t="s">
        <v>353</v>
      </c>
      <c r="D105" s="18"/>
      <c r="E105" s="19"/>
      <c r="F105" s="19"/>
    </row>
    <row r="106">
      <c r="B106" s="17"/>
      <c r="D106" s="18"/>
      <c r="E106" s="19"/>
      <c r="F106" s="19"/>
    </row>
    <row r="107">
      <c r="A107">
        <f>SUM(A103:A105)</f>
        <v>1027</v>
      </c>
      <c r="B107" s="17"/>
      <c r="D107" s="18"/>
      <c r="E107" s="19"/>
      <c r="F107" s="19"/>
    </row>
    <row r="108">
      <c r="B108" s="17"/>
      <c r="D108" s="18"/>
      <c r="E108" s="19"/>
      <c r="F108" s="19"/>
    </row>
    <row r="109">
      <c r="B109" s="17"/>
      <c r="D109" s="18"/>
      <c r="E109" s="19"/>
      <c r="F109" s="19"/>
    </row>
    <row r="110">
      <c r="B110" s="17"/>
      <c r="D110" s="18"/>
      <c r="E110" s="19"/>
      <c r="F110" s="19"/>
    </row>
    <row r="111">
      <c r="B111" s="17"/>
      <c r="D111" s="18"/>
      <c r="E111" s="19"/>
      <c r="F111" s="19"/>
    </row>
    <row r="112">
      <c r="B112" s="17"/>
      <c r="D112" s="18"/>
      <c r="E112" s="19"/>
      <c r="F112" s="19"/>
    </row>
    <row r="113">
      <c r="B113" s="17"/>
      <c r="D113" s="18"/>
      <c r="E113" s="19"/>
      <c r="F113" s="19"/>
    </row>
    <row r="114">
      <c r="B114" s="17"/>
      <c r="D114" s="18"/>
      <c r="E114" s="19"/>
      <c r="F114" s="19"/>
    </row>
    <row r="115">
      <c r="B115" s="17"/>
      <c r="D115" s="18"/>
      <c r="E115" s="19"/>
      <c r="F115" s="19"/>
    </row>
    <row r="116">
      <c r="B116" s="17"/>
      <c r="D116" s="18"/>
      <c r="E116" s="19"/>
      <c r="F116" s="19"/>
    </row>
    <row r="117">
      <c r="B117" s="17"/>
      <c r="D117" s="18"/>
      <c r="E117" s="19"/>
      <c r="F117" s="19"/>
    </row>
    <row r="118">
      <c r="B118" s="17"/>
      <c r="D118" s="18"/>
      <c r="E118" s="19"/>
      <c r="F118" s="19"/>
    </row>
    <row r="119">
      <c r="B119" s="17"/>
      <c r="D119" s="18"/>
      <c r="E119" s="19"/>
      <c r="F119" s="19"/>
    </row>
    <row r="120">
      <c r="B120" s="17"/>
      <c r="D120" s="18"/>
      <c r="E120" s="19"/>
      <c r="F120" s="19"/>
    </row>
    <row r="121">
      <c r="B121" s="17"/>
      <c r="D121" s="18"/>
      <c r="E121" s="19"/>
      <c r="F121" s="19"/>
    </row>
    <row r="122">
      <c r="B122" s="26"/>
      <c r="D122" s="18"/>
      <c r="E122" s="19"/>
      <c r="F122" s="19"/>
    </row>
    <row r="123">
      <c r="B123" s="26"/>
      <c r="D123" s="18"/>
      <c r="E123" s="19"/>
      <c r="F123" s="19"/>
    </row>
    <row r="124">
      <c r="B124" s="26"/>
      <c r="D124" s="18"/>
      <c r="E124" s="19"/>
      <c r="F124" s="19"/>
    </row>
    <row r="125">
      <c r="B125" s="26"/>
      <c r="D125" s="18"/>
      <c r="E125" s="19"/>
      <c r="F125" s="19"/>
    </row>
    <row r="126">
      <c r="B126" s="26"/>
      <c r="D126" s="18"/>
      <c r="E126" s="19"/>
      <c r="F126" s="19"/>
    </row>
    <row r="127">
      <c r="B127" s="26"/>
      <c r="D127" s="18"/>
      <c r="E127" s="19"/>
      <c r="F127" s="19"/>
    </row>
    <row r="128">
      <c r="B128" s="26"/>
      <c r="D128" s="18"/>
      <c r="E128" s="19"/>
      <c r="F128" s="19"/>
    </row>
    <row r="129">
      <c r="B129" s="26"/>
      <c r="D129" s="18"/>
      <c r="E129" s="19"/>
      <c r="F129" s="19"/>
    </row>
    <row r="130">
      <c r="B130" s="26"/>
      <c r="D130" s="18"/>
      <c r="E130" s="19"/>
      <c r="F130" s="19"/>
    </row>
    <row r="131">
      <c r="B131" s="26"/>
      <c r="D131" s="18"/>
      <c r="E131" s="19"/>
      <c r="F131" s="19"/>
    </row>
    <row r="132">
      <c r="B132" s="26"/>
      <c r="D132" s="18"/>
      <c r="E132" s="19"/>
      <c r="F132" s="19"/>
    </row>
    <row r="133">
      <c r="B133" s="26"/>
      <c r="D133" s="18"/>
      <c r="E133" s="19"/>
      <c r="F133" s="19"/>
    </row>
    <row r="134">
      <c r="B134" s="26"/>
      <c r="D134" s="18"/>
      <c r="E134" s="19"/>
      <c r="F134" s="19"/>
    </row>
    <row r="135">
      <c r="B135" s="26"/>
      <c r="D135" s="18"/>
      <c r="E135" s="19"/>
      <c r="F135" s="19"/>
    </row>
    <row r="136">
      <c r="B136" s="26"/>
      <c r="D136" s="18"/>
      <c r="E136" s="19"/>
      <c r="F136" s="19"/>
    </row>
    <row r="137">
      <c r="B137" s="26"/>
      <c r="D137" s="18"/>
      <c r="E137" s="19"/>
      <c r="F137" s="19"/>
    </row>
    <row r="138">
      <c r="B138" s="26"/>
      <c r="D138" s="18"/>
      <c r="E138" s="19"/>
      <c r="F138" s="19"/>
    </row>
    <row r="139">
      <c r="B139" s="26"/>
      <c r="D139" s="18"/>
      <c r="E139" s="19"/>
      <c r="F139" s="19"/>
    </row>
    <row r="140">
      <c r="B140" s="26"/>
      <c r="D140" s="18"/>
      <c r="E140" s="19"/>
      <c r="F140" s="19"/>
    </row>
    <row r="141">
      <c r="B141" s="26"/>
      <c r="D141" s="18"/>
      <c r="E141" s="19"/>
      <c r="F141" s="19"/>
    </row>
    <row r="142">
      <c r="B142" s="26"/>
      <c r="D142" s="18"/>
      <c r="E142" s="19"/>
      <c r="F142" s="19"/>
    </row>
    <row r="143">
      <c r="B143" s="26"/>
      <c r="D143" s="18"/>
      <c r="E143" s="19"/>
      <c r="F143" s="19"/>
    </row>
    <row r="144">
      <c r="B144" s="26"/>
      <c r="D144" s="18"/>
      <c r="E144" s="19"/>
      <c r="F144" s="19"/>
    </row>
    <row r="145">
      <c r="B145" s="26"/>
      <c r="D145" s="18"/>
      <c r="E145" s="19"/>
      <c r="F145" s="19"/>
    </row>
    <row r="146">
      <c r="B146" s="26"/>
      <c r="D146" s="18"/>
      <c r="E146" s="19"/>
      <c r="F146" s="19"/>
    </row>
    <row r="147">
      <c r="B147" s="26"/>
      <c r="D147" s="18"/>
      <c r="E147" s="19"/>
      <c r="F147" s="19"/>
    </row>
    <row r="148">
      <c r="B148" s="26"/>
      <c r="D148" s="18"/>
      <c r="E148" s="19"/>
      <c r="F148" s="19"/>
    </row>
    <row r="149">
      <c r="B149" s="26"/>
      <c r="D149" s="18"/>
      <c r="E149" s="19"/>
      <c r="F149" s="19"/>
    </row>
    <row r="150">
      <c r="B150" s="26"/>
      <c r="D150" s="18"/>
      <c r="E150" s="19"/>
      <c r="F150" s="19"/>
    </row>
    <row r="151">
      <c r="B151" s="26"/>
      <c r="D151" s="18"/>
      <c r="E151" s="19"/>
      <c r="F151" s="19"/>
    </row>
    <row r="152">
      <c r="B152" s="26"/>
      <c r="D152" s="18"/>
      <c r="E152" s="19"/>
      <c r="F152" s="19"/>
    </row>
    <row r="153">
      <c r="B153" s="26"/>
      <c r="D153" s="18"/>
      <c r="E153" s="19"/>
      <c r="F153" s="19"/>
    </row>
    <row r="154">
      <c r="B154" s="26"/>
      <c r="D154" s="18"/>
      <c r="E154" s="19"/>
      <c r="F154" s="19"/>
    </row>
    <row r="155">
      <c r="B155" s="26"/>
      <c r="D155" s="18"/>
      <c r="E155" s="19"/>
      <c r="F155" s="19"/>
    </row>
    <row r="156">
      <c r="B156" s="26"/>
      <c r="D156" s="18"/>
      <c r="E156" s="19"/>
      <c r="F156" s="19"/>
    </row>
    <row r="157">
      <c r="B157" s="26"/>
      <c r="D157" s="18"/>
      <c r="E157" s="19"/>
      <c r="F157" s="19"/>
    </row>
    <row r="158">
      <c r="B158" s="26"/>
      <c r="D158" s="18"/>
      <c r="E158" s="19"/>
      <c r="F158" s="19"/>
    </row>
    <row r="159">
      <c r="B159" s="26"/>
      <c r="D159" s="18"/>
      <c r="E159" s="19"/>
      <c r="F159" s="19"/>
    </row>
    <row r="160">
      <c r="B160" s="26"/>
      <c r="D160" s="18"/>
      <c r="E160" s="19"/>
      <c r="F160" s="19"/>
    </row>
    <row r="161">
      <c r="B161" s="26"/>
      <c r="D161" s="18"/>
      <c r="E161" s="19"/>
      <c r="F161" s="19"/>
    </row>
    <row r="162">
      <c r="B162" s="26"/>
      <c r="D162" s="18"/>
      <c r="E162" s="19"/>
      <c r="F162" s="19"/>
    </row>
    <row r="163">
      <c r="B163" s="26"/>
      <c r="D163" s="18"/>
      <c r="E163" s="19"/>
      <c r="F163" s="19"/>
    </row>
    <row r="164">
      <c r="B164" s="26"/>
      <c r="D164" s="18"/>
      <c r="E164" s="19"/>
      <c r="F164" s="19"/>
    </row>
    <row r="165">
      <c r="B165" s="26"/>
      <c r="D165" s="18"/>
      <c r="E165" s="19"/>
      <c r="F165" s="19"/>
    </row>
    <row r="166">
      <c r="B166" s="26"/>
      <c r="D166" s="18"/>
      <c r="E166" s="19"/>
      <c r="F166" s="19"/>
    </row>
    <row r="167">
      <c r="B167" s="26"/>
      <c r="D167" s="18"/>
      <c r="E167" s="19"/>
      <c r="F167" s="19"/>
    </row>
    <row r="168">
      <c r="B168" s="26"/>
      <c r="D168" s="18"/>
      <c r="E168" s="19"/>
      <c r="F168" s="19"/>
    </row>
    <row r="169">
      <c r="B169" s="26"/>
      <c r="D169" s="18"/>
      <c r="E169" s="19"/>
      <c r="F169" s="19"/>
    </row>
    <row r="170">
      <c r="B170" s="26"/>
      <c r="D170" s="18"/>
      <c r="E170" s="19"/>
      <c r="F170" s="19"/>
    </row>
    <row r="171">
      <c r="B171" s="26"/>
      <c r="D171" s="18"/>
      <c r="E171" s="19"/>
      <c r="F171" s="19"/>
    </row>
    <row r="172">
      <c r="B172" s="26"/>
      <c r="D172" s="18"/>
      <c r="E172" s="19"/>
      <c r="F172" s="19"/>
    </row>
    <row r="173">
      <c r="B173" s="26"/>
      <c r="D173" s="18"/>
      <c r="E173" s="19"/>
      <c r="F173" s="19"/>
    </row>
    <row r="174">
      <c r="B174" s="26"/>
      <c r="D174" s="18"/>
      <c r="E174" s="19"/>
      <c r="F174" s="19"/>
    </row>
    <row r="175">
      <c r="B175" s="26"/>
      <c r="D175" s="18"/>
      <c r="E175" s="19"/>
      <c r="F175" s="19"/>
    </row>
    <row r="176">
      <c r="B176" s="26"/>
      <c r="D176" s="18"/>
      <c r="E176" s="19"/>
      <c r="F176" s="19"/>
    </row>
    <row r="177">
      <c r="B177" s="26"/>
      <c r="D177" s="18"/>
      <c r="E177" s="19"/>
      <c r="F177" s="19"/>
    </row>
    <row r="178">
      <c r="B178" s="26"/>
      <c r="D178" s="18"/>
      <c r="E178" s="19"/>
      <c r="F178" s="19"/>
    </row>
    <row r="179">
      <c r="B179" s="26"/>
      <c r="D179" s="18"/>
      <c r="E179" s="19"/>
      <c r="F179" s="19"/>
    </row>
    <row r="180">
      <c r="B180" s="26"/>
      <c r="D180" s="18"/>
      <c r="E180" s="19"/>
      <c r="F180" s="19"/>
    </row>
    <row r="181">
      <c r="B181" s="26"/>
      <c r="D181" s="18"/>
      <c r="E181" s="19"/>
      <c r="F181" s="19"/>
    </row>
    <row r="182">
      <c r="B182" s="26"/>
      <c r="D182" s="18"/>
      <c r="E182" s="19"/>
      <c r="F182" s="19"/>
    </row>
    <row r="183">
      <c r="B183" s="26"/>
      <c r="D183" s="18"/>
      <c r="E183" s="19"/>
      <c r="F183" s="19"/>
    </row>
    <row r="184">
      <c r="B184" s="26"/>
      <c r="D184" s="18"/>
      <c r="E184" s="19"/>
      <c r="F184" s="19"/>
    </row>
    <row r="185">
      <c r="B185" s="26"/>
      <c r="D185" s="18"/>
      <c r="E185" s="19"/>
      <c r="F185" s="19"/>
    </row>
    <row r="186">
      <c r="B186" s="26"/>
      <c r="D186" s="18"/>
      <c r="E186" s="19"/>
      <c r="F186" s="19"/>
    </row>
    <row r="187">
      <c r="B187" s="26"/>
      <c r="D187" s="18"/>
      <c r="E187" s="19"/>
      <c r="F187" s="19"/>
    </row>
    <row r="188">
      <c r="B188" s="26"/>
      <c r="D188" s="18"/>
      <c r="E188" s="19"/>
      <c r="F188" s="19"/>
    </row>
    <row r="189">
      <c r="B189" s="26"/>
      <c r="D189" s="18"/>
      <c r="E189" s="19"/>
      <c r="F189" s="19"/>
    </row>
    <row r="190">
      <c r="B190" s="26"/>
      <c r="D190" s="18"/>
      <c r="E190" s="19"/>
      <c r="F190" s="19"/>
    </row>
    <row r="191">
      <c r="B191" s="26"/>
      <c r="D191" s="18"/>
      <c r="E191" s="19"/>
      <c r="F191" s="19"/>
    </row>
    <row r="192">
      <c r="B192" s="26"/>
      <c r="D192" s="18"/>
      <c r="E192" s="19"/>
      <c r="F192" s="19"/>
    </row>
    <row r="193">
      <c r="B193" s="26"/>
      <c r="D193" s="18"/>
      <c r="E193" s="19"/>
      <c r="F193" s="19"/>
    </row>
    <row r="194">
      <c r="B194" s="26"/>
      <c r="D194" s="18"/>
      <c r="E194" s="19"/>
      <c r="F194" s="19"/>
    </row>
    <row r="195">
      <c r="B195" s="26"/>
      <c r="D195" s="18"/>
      <c r="E195" s="19"/>
      <c r="F195" s="19"/>
    </row>
    <row r="196">
      <c r="B196" s="26"/>
      <c r="D196" s="18"/>
      <c r="E196" s="19"/>
      <c r="F196" s="19"/>
    </row>
    <row r="197">
      <c r="B197" s="26"/>
      <c r="D197" s="18"/>
      <c r="E197" s="19"/>
      <c r="F197" s="19"/>
    </row>
    <row r="198">
      <c r="B198" s="26"/>
      <c r="D198" s="18"/>
      <c r="E198" s="19"/>
      <c r="F198" s="19"/>
    </row>
    <row r="199">
      <c r="B199" s="26"/>
      <c r="D199" s="18"/>
      <c r="E199" s="19"/>
      <c r="F199" s="19"/>
    </row>
    <row r="200">
      <c r="B200" s="26"/>
      <c r="D200" s="18"/>
      <c r="E200" s="19"/>
      <c r="F200" s="19"/>
    </row>
    <row r="201">
      <c r="B201" s="26"/>
      <c r="D201" s="18"/>
      <c r="E201" s="19"/>
      <c r="F201" s="19"/>
    </row>
    <row r="202">
      <c r="B202" s="26"/>
      <c r="D202" s="18"/>
      <c r="E202" s="19"/>
      <c r="F202" s="19"/>
    </row>
    <row r="203">
      <c r="B203" s="26"/>
      <c r="D203" s="18"/>
      <c r="E203" s="19"/>
      <c r="F203" s="19"/>
    </row>
    <row r="204">
      <c r="B204" s="26"/>
      <c r="D204" s="18"/>
      <c r="E204" s="19"/>
      <c r="F204" s="19"/>
    </row>
    <row r="205">
      <c r="B205" s="26"/>
      <c r="D205" s="18"/>
      <c r="E205" s="19"/>
      <c r="F205" s="19"/>
    </row>
    <row r="206">
      <c r="B206" s="26"/>
      <c r="D206" s="18"/>
      <c r="E206" s="19"/>
      <c r="F206" s="19"/>
    </row>
    <row r="207">
      <c r="B207" s="26"/>
      <c r="D207" s="18"/>
      <c r="E207" s="19"/>
      <c r="F207" s="19"/>
    </row>
    <row r="208">
      <c r="B208" s="26"/>
      <c r="D208" s="18"/>
      <c r="E208" s="19"/>
      <c r="F208" s="19"/>
    </row>
    <row r="209">
      <c r="B209" s="26"/>
      <c r="D209" s="18"/>
      <c r="E209" s="19"/>
      <c r="F209" s="19"/>
    </row>
    <row r="210">
      <c r="B210" s="26"/>
      <c r="D210" s="18"/>
      <c r="E210" s="19"/>
      <c r="F210" s="19"/>
    </row>
    <row r="211">
      <c r="B211" s="26"/>
      <c r="D211" s="18"/>
      <c r="E211" s="19"/>
      <c r="F211" s="19"/>
    </row>
    <row r="212">
      <c r="B212" s="26"/>
      <c r="D212" s="18"/>
      <c r="E212" s="19"/>
      <c r="F212" s="19"/>
    </row>
    <row r="213">
      <c r="B213" s="26"/>
      <c r="D213" s="18"/>
      <c r="E213" s="19"/>
      <c r="F213" s="19"/>
    </row>
    <row r="214">
      <c r="B214" s="26"/>
      <c r="D214" s="18"/>
      <c r="E214" s="19"/>
      <c r="F214" s="19"/>
    </row>
    <row r="215">
      <c r="B215" s="26"/>
      <c r="D215" s="18"/>
      <c r="E215" s="19"/>
      <c r="F215" s="19"/>
    </row>
    <row r="216">
      <c r="B216" s="26"/>
      <c r="D216" s="18"/>
      <c r="E216" s="19"/>
      <c r="F216" s="19"/>
    </row>
    <row r="217">
      <c r="B217" s="26"/>
      <c r="D217" s="18"/>
      <c r="E217" s="19"/>
      <c r="F217" s="19"/>
    </row>
    <row r="218">
      <c r="B218" s="26"/>
      <c r="D218" s="18"/>
      <c r="E218" s="19"/>
      <c r="F218" s="19"/>
    </row>
    <row r="219">
      <c r="B219" s="26"/>
      <c r="D219" s="18"/>
      <c r="E219" s="19"/>
      <c r="F219" s="19"/>
    </row>
    <row r="220">
      <c r="B220" s="26"/>
      <c r="D220" s="18"/>
      <c r="E220" s="19"/>
      <c r="F220" s="19"/>
    </row>
    <row r="221">
      <c r="B221" s="26"/>
      <c r="D221" s="18"/>
      <c r="E221" s="19"/>
      <c r="F221" s="19"/>
    </row>
    <row r="222">
      <c r="B222" s="26"/>
      <c r="D222" s="18"/>
      <c r="E222" s="19"/>
      <c r="F222" s="19"/>
    </row>
    <row r="223">
      <c r="B223" s="26"/>
      <c r="D223" s="18"/>
      <c r="E223" s="19"/>
      <c r="F223" s="19"/>
    </row>
    <row r="224">
      <c r="B224" s="26"/>
      <c r="D224" s="18"/>
      <c r="E224" s="19"/>
      <c r="F224" s="19"/>
    </row>
    <row r="225">
      <c r="B225" s="26"/>
      <c r="D225" s="18"/>
      <c r="E225" s="19"/>
      <c r="F225" s="19"/>
    </row>
    <row r="226">
      <c r="B226" s="26"/>
      <c r="D226" s="18"/>
      <c r="E226" s="19"/>
      <c r="F226" s="19"/>
    </row>
    <row r="227">
      <c r="B227" s="26"/>
      <c r="D227" s="18"/>
      <c r="E227" s="19"/>
      <c r="F227" s="19"/>
    </row>
    <row r="228">
      <c r="B228" s="26"/>
      <c r="D228" s="18"/>
      <c r="E228" s="19"/>
      <c r="F228" s="19"/>
    </row>
    <row r="229">
      <c r="B229" s="26"/>
      <c r="D229" s="18"/>
      <c r="E229" s="19"/>
      <c r="F229" s="19"/>
    </row>
    <row r="230">
      <c r="B230" s="26"/>
      <c r="D230" s="18"/>
      <c r="E230" s="19"/>
      <c r="F230" s="19"/>
    </row>
    <row r="231">
      <c r="B231" s="26"/>
      <c r="D231" s="18"/>
      <c r="E231" s="19"/>
      <c r="F231" s="19"/>
    </row>
    <row r="232">
      <c r="B232" s="26"/>
      <c r="D232" s="18"/>
      <c r="E232" s="19"/>
      <c r="F232" s="19"/>
    </row>
    <row r="233">
      <c r="B233" s="26"/>
      <c r="D233" s="18"/>
      <c r="E233" s="19"/>
      <c r="F233" s="19"/>
    </row>
    <row r="234">
      <c r="B234" s="26"/>
      <c r="D234" s="18"/>
      <c r="E234" s="19"/>
      <c r="F234" s="19"/>
    </row>
    <row r="235">
      <c r="B235" s="26"/>
      <c r="D235" s="18"/>
      <c r="E235" s="19"/>
      <c r="F235" s="19"/>
    </row>
    <row r="236">
      <c r="B236" s="26"/>
      <c r="D236" s="18"/>
      <c r="E236" s="19"/>
      <c r="F236" s="19"/>
    </row>
    <row r="237">
      <c r="B237" s="26"/>
      <c r="D237" s="18"/>
      <c r="E237" s="19"/>
      <c r="F237" s="19"/>
    </row>
    <row r="238">
      <c r="B238" s="26"/>
      <c r="D238" s="18"/>
      <c r="E238" s="19"/>
      <c r="F238" s="19"/>
    </row>
    <row r="239">
      <c r="B239" s="26"/>
      <c r="D239" s="18"/>
      <c r="E239" s="19"/>
      <c r="F239" s="19"/>
    </row>
    <row r="240">
      <c r="B240" s="26"/>
      <c r="D240" s="18"/>
      <c r="E240" s="19"/>
      <c r="F240" s="19"/>
    </row>
    <row r="241">
      <c r="B241" s="26"/>
      <c r="D241" s="18"/>
      <c r="E241" s="19"/>
      <c r="F241" s="19"/>
    </row>
    <row r="242">
      <c r="B242" s="26"/>
      <c r="D242" s="18"/>
      <c r="E242" s="19"/>
      <c r="F242" s="19"/>
    </row>
    <row r="243">
      <c r="B243" s="26"/>
      <c r="D243" s="18"/>
      <c r="E243" s="19"/>
      <c r="F243" s="19"/>
    </row>
    <row r="244">
      <c r="B244" s="26"/>
      <c r="D244" s="18"/>
      <c r="E244" s="19"/>
      <c r="F244" s="19"/>
    </row>
    <row r="245">
      <c r="B245" s="26"/>
      <c r="D245" s="18"/>
      <c r="E245" s="19"/>
      <c r="F245" s="19"/>
    </row>
    <row r="246">
      <c r="B246" s="26"/>
      <c r="D246" s="18"/>
      <c r="E246" s="19"/>
      <c r="F246" s="19"/>
    </row>
    <row r="247">
      <c r="B247" s="26"/>
      <c r="D247" s="18"/>
      <c r="E247" s="19"/>
      <c r="F247" s="19"/>
    </row>
    <row r="248">
      <c r="B248" s="26"/>
      <c r="D248" s="18"/>
      <c r="E248" s="19"/>
      <c r="F248" s="19"/>
    </row>
    <row r="249">
      <c r="B249" s="26"/>
      <c r="D249" s="18"/>
      <c r="E249" s="19"/>
      <c r="F249" s="19"/>
    </row>
    <row r="250">
      <c r="B250" s="26"/>
      <c r="D250" s="18"/>
      <c r="E250" s="19"/>
      <c r="F250" s="19"/>
    </row>
    <row r="251">
      <c r="B251" s="26"/>
      <c r="D251" s="18"/>
      <c r="E251" s="19"/>
      <c r="F251" s="19"/>
    </row>
    <row r="252">
      <c r="B252" s="26"/>
      <c r="D252" s="18"/>
      <c r="E252" s="19"/>
      <c r="F252" s="19"/>
    </row>
    <row r="253">
      <c r="B253" s="26"/>
      <c r="D253" s="18"/>
      <c r="E253" s="19"/>
      <c r="F253" s="19"/>
    </row>
    <row r="254">
      <c r="B254" s="26"/>
      <c r="D254" s="18"/>
      <c r="E254" s="19"/>
      <c r="F254" s="19"/>
    </row>
    <row r="255">
      <c r="B255" s="26"/>
      <c r="D255" s="18"/>
      <c r="E255" s="19"/>
      <c r="F255" s="19"/>
    </row>
    <row r="256">
      <c r="B256" s="26"/>
      <c r="D256" s="18"/>
      <c r="E256" s="19"/>
      <c r="F256" s="19"/>
    </row>
    <row r="257">
      <c r="B257" s="26"/>
      <c r="D257" s="18"/>
      <c r="E257" s="19"/>
      <c r="F257" s="19"/>
    </row>
    <row r="258">
      <c r="B258" s="26"/>
      <c r="D258" s="18"/>
      <c r="E258" s="19"/>
      <c r="F258" s="19"/>
    </row>
    <row r="259">
      <c r="B259" s="26"/>
      <c r="D259" s="18"/>
      <c r="E259" s="19"/>
      <c r="F259" s="19"/>
    </row>
    <row r="260">
      <c r="B260" s="26"/>
      <c r="D260" s="18"/>
      <c r="E260" s="19"/>
      <c r="F260" s="19"/>
    </row>
    <row r="261">
      <c r="B261" s="26"/>
      <c r="D261" s="18"/>
      <c r="E261" s="19"/>
      <c r="F261" s="19"/>
    </row>
    <row r="262">
      <c r="B262" s="26"/>
      <c r="D262" s="18"/>
      <c r="E262" s="19"/>
      <c r="F262" s="19"/>
    </row>
    <row r="263">
      <c r="B263" s="26"/>
      <c r="D263" s="18"/>
      <c r="E263" s="19"/>
      <c r="F263" s="19"/>
    </row>
    <row r="264">
      <c r="B264" s="26"/>
      <c r="D264" s="18"/>
      <c r="E264" s="19"/>
      <c r="F264" s="19"/>
    </row>
    <row r="265">
      <c r="B265" s="26"/>
      <c r="D265" s="18"/>
      <c r="E265" s="19"/>
      <c r="F265" s="19"/>
    </row>
    <row r="266">
      <c r="B266" s="26"/>
      <c r="D266" s="18"/>
      <c r="E266" s="19"/>
      <c r="F266" s="19"/>
    </row>
    <row r="267">
      <c r="B267" s="26"/>
      <c r="D267" s="18"/>
      <c r="E267" s="19"/>
      <c r="F267" s="19"/>
    </row>
    <row r="268">
      <c r="B268" s="26"/>
      <c r="D268" s="18"/>
      <c r="E268" s="19"/>
      <c r="F268" s="19"/>
    </row>
    <row r="269">
      <c r="B269" s="26"/>
      <c r="D269" s="18"/>
      <c r="E269" s="19"/>
      <c r="F269" s="19"/>
    </row>
    <row r="270">
      <c r="B270" s="26"/>
      <c r="D270" s="18"/>
      <c r="E270" s="19"/>
      <c r="F270" s="19"/>
    </row>
    <row r="271">
      <c r="B271" s="26"/>
      <c r="D271" s="18"/>
      <c r="E271" s="19"/>
      <c r="F271" s="19"/>
    </row>
    <row r="272">
      <c r="B272" s="26"/>
      <c r="D272" s="18"/>
      <c r="E272" s="19"/>
      <c r="F272" s="19"/>
    </row>
    <row r="273">
      <c r="B273" s="26"/>
      <c r="D273" s="18"/>
      <c r="E273" s="19"/>
      <c r="F273" s="19"/>
    </row>
    <row r="274">
      <c r="B274" s="26"/>
      <c r="D274" s="18"/>
      <c r="E274" s="19"/>
      <c r="F274" s="19"/>
    </row>
    <row r="275">
      <c r="B275" s="26"/>
      <c r="D275" s="18"/>
      <c r="E275" s="19"/>
      <c r="F275" s="19"/>
    </row>
    <row r="276">
      <c r="B276" s="26"/>
      <c r="D276" s="18"/>
      <c r="E276" s="19"/>
      <c r="F276" s="19"/>
    </row>
    <row r="277">
      <c r="B277" s="26"/>
      <c r="D277" s="18"/>
      <c r="E277" s="19"/>
      <c r="F277" s="19"/>
    </row>
    <row r="278">
      <c r="B278" s="26"/>
      <c r="D278" s="18"/>
      <c r="E278" s="19"/>
      <c r="F278" s="19"/>
    </row>
    <row r="279">
      <c r="B279" s="26"/>
      <c r="D279" s="18"/>
      <c r="E279" s="19"/>
      <c r="F279" s="19"/>
    </row>
    <row r="280">
      <c r="B280" s="26"/>
      <c r="D280" s="18"/>
      <c r="E280" s="19"/>
      <c r="F280" s="19"/>
    </row>
    <row r="281">
      <c r="B281" s="26"/>
      <c r="D281" s="18"/>
      <c r="E281" s="19"/>
      <c r="F281" s="19"/>
    </row>
    <row r="282">
      <c r="B282" s="26"/>
      <c r="D282" s="18"/>
      <c r="E282" s="19"/>
      <c r="F282" s="19"/>
    </row>
    <row r="283">
      <c r="B283" s="26"/>
      <c r="D283" s="18"/>
      <c r="E283" s="19"/>
      <c r="F283" s="19"/>
    </row>
    <row r="284">
      <c r="B284" s="26"/>
      <c r="D284" s="18"/>
      <c r="E284" s="19"/>
      <c r="F284" s="19"/>
    </row>
    <row r="285">
      <c r="B285" s="26"/>
      <c r="D285" s="18"/>
      <c r="E285" s="19"/>
      <c r="F285" s="19"/>
    </row>
    <row r="286">
      <c r="B286" s="26"/>
      <c r="D286" s="18"/>
      <c r="E286" s="19"/>
      <c r="F286" s="19"/>
    </row>
    <row r="287">
      <c r="B287" s="26"/>
      <c r="D287" s="18"/>
      <c r="E287" s="19"/>
      <c r="F287" s="19"/>
    </row>
    <row r="288">
      <c r="B288" s="26"/>
      <c r="D288" s="18"/>
      <c r="E288" s="19"/>
      <c r="F288" s="19"/>
    </row>
    <row r="289">
      <c r="B289" s="26"/>
      <c r="D289" s="18"/>
      <c r="E289" s="19"/>
      <c r="F289" s="19"/>
    </row>
    <row r="290">
      <c r="B290" s="26"/>
      <c r="D290" s="18"/>
      <c r="E290" s="19"/>
      <c r="F290" s="19"/>
    </row>
    <row r="291">
      <c r="B291" s="26"/>
      <c r="D291" s="18"/>
      <c r="E291" s="19"/>
      <c r="F291" s="19"/>
    </row>
    <row r="292">
      <c r="B292" s="26"/>
      <c r="D292" s="18"/>
      <c r="E292" s="19"/>
      <c r="F292" s="19"/>
    </row>
    <row r="293">
      <c r="B293" s="26"/>
      <c r="D293" s="18"/>
      <c r="E293" s="19"/>
      <c r="F293" s="19"/>
    </row>
    <row r="294">
      <c r="B294" s="26"/>
      <c r="D294" s="18"/>
      <c r="E294" s="19"/>
      <c r="F294" s="19"/>
    </row>
    <row r="295">
      <c r="B295" s="26"/>
      <c r="D295" s="18"/>
      <c r="E295" s="19"/>
      <c r="F295" s="19"/>
    </row>
    <row r="296">
      <c r="B296" s="26"/>
      <c r="D296" s="18"/>
      <c r="E296" s="19"/>
      <c r="F296" s="19"/>
    </row>
    <row r="297">
      <c r="B297" s="26"/>
      <c r="D297" s="18"/>
      <c r="E297" s="19"/>
      <c r="F297" s="19"/>
    </row>
    <row r="298">
      <c r="B298" s="26"/>
      <c r="D298" s="18"/>
      <c r="E298" s="19"/>
      <c r="F298" s="19"/>
    </row>
    <row r="299">
      <c r="B299" s="26"/>
      <c r="D299" s="18"/>
      <c r="E299" s="19"/>
      <c r="F299" s="19"/>
    </row>
    <row r="300">
      <c r="B300" s="26"/>
      <c r="D300" s="18"/>
      <c r="E300" s="19"/>
      <c r="F300" s="19"/>
    </row>
    <row r="301">
      <c r="B301" s="26"/>
      <c r="D301" s="18"/>
      <c r="E301" s="19"/>
      <c r="F301" s="19"/>
    </row>
    <row r="302">
      <c r="B302" s="26"/>
      <c r="D302" s="18"/>
      <c r="E302" s="19"/>
      <c r="F302" s="19"/>
    </row>
    <row r="303">
      <c r="B303" s="26"/>
      <c r="D303" s="18"/>
      <c r="E303" s="19"/>
      <c r="F303" s="19"/>
    </row>
    <row r="304">
      <c r="B304" s="26"/>
      <c r="D304" s="18"/>
      <c r="E304" s="19"/>
      <c r="F304" s="19"/>
    </row>
    <row r="305">
      <c r="B305" s="26"/>
      <c r="D305" s="18"/>
      <c r="E305" s="19"/>
      <c r="F305" s="19"/>
    </row>
    <row r="306">
      <c r="B306" s="26"/>
      <c r="D306" s="18"/>
      <c r="E306" s="19"/>
      <c r="F306" s="19"/>
    </row>
    <row r="307">
      <c r="B307" s="26"/>
      <c r="D307" s="18"/>
      <c r="E307" s="19"/>
      <c r="F307" s="19"/>
    </row>
    <row r="308">
      <c r="B308" s="26"/>
      <c r="D308" s="18"/>
      <c r="E308" s="19"/>
      <c r="F308" s="19"/>
    </row>
    <row r="309">
      <c r="B309" s="26"/>
      <c r="D309" s="18"/>
      <c r="E309" s="19"/>
      <c r="F309" s="19"/>
    </row>
    <row r="310">
      <c r="B310" s="26"/>
      <c r="D310" s="18"/>
      <c r="E310" s="19"/>
      <c r="F310" s="19"/>
    </row>
    <row r="311">
      <c r="B311" s="26"/>
      <c r="D311" s="18"/>
      <c r="E311" s="19"/>
      <c r="F311" s="19"/>
    </row>
    <row r="312">
      <c r="B312" s="26"/>
      <c r="D312" s="18"/>
      <c r="E312" s="19"/>
      <c r="F312" s="19"/>
    </row>
    <row r="313">
      <c r="B313" s="26"/>
      <c r="D313" s="18"/>
      <c r="E313" s="19"/>
      <c r="F313" s="19"/>
    </row>
    <row r="314">
      <c r="B314" s="26"/>
      <c r="D314" s="18"/>
      <c r="E314" s="19"/>
      <c r="F314" s="19"/>
    </row>
    <row r="315">
      <c r="B315" s="26"/>
      <c r="D315" s="18"/>
      <c r="E315" s="19"/>
      <c r="F315" s="19"/>
    </row>
    <row r="316">
      <c r="B316" s="26"/>
      <c r="D316" s="18"/>
      <c r="E316" s="19"/>
      <c r="F316" s="19"/>
    </row>
    <row r="317">
      <c r="B317" s="26"/>
      <c r="D317" s="18"/>
      <c r="E317" s="19"/>
      <c r="F317" s="19"/>
    </row>
    <row r="318">
      <c r="B318" s="26"/>
      <c r="D318" s="18"/>
      <c r="E318" s="19"/>
      <c r="F318" s="19"/>
    </row>
    <row r="319">
      <c r="B319" s="26"/>
      <c r="D319" s="18"/>
      <c r="E319" s="19"/>
      <c r="F319" s="19"/>
    </row>
    <row r="320">
      <c r="B320" s="26"/>
      <c r="D320" s="18"/>
      <c r="E320" s="19"/>
      <c r="F320" s="19"/>
    </row>
    <row r="321">
      <c r="B321" s="26"/>
      <c r="D321" s="18"/>
      <c r="E321" s="19"/>
      <c r="F321" s="19"/>
    </row>
    <row r="322">
      <c r="B322" s="26"/>
      <c r="D322" s="18"/>
      <c r="E322" s="19"/>
      <c r="F322" s="19"/>
    </row>
    <row r="323">
      <c r="B323" s="26"/>
      <c r="D323" s="18"/>
      <c r="E323" s="19"/>
      <c r="F323" s="19"/>
    </row>
    <row r="324">
      <c r="B324" s="26"/>
      <c r="D324" s="18"/>
      <c r="E324" s="19"/>
      <c r="F324" s="19"/>
    </row>
    <row r="325">
      <c r="B325" s="26"/>
      <c r="D325" s="18"/>
      <c r="E325" s="19"/>
      <c r="F325" s="19"/>
    </row>
    <row r="326">
      <c r="B326" s="26"/>
      <c r="D326" s="18"/>
      <c r="E326" s="19"/>
      <c r="F326" s="19"/>
    </row>
    <row r="327">
      <c r="B327" s="26"/>
      <c r="D327" s="18"/>
      <c r="E327" s="19"/>
      <c r="F327" s="19"/>
    </row>
    <row r="328">
      <c r="B328" s="26"/>
      <c r="D328" s="18"/>
      <c r="E328" s="19"/>
      <c r="F328" s="19"/>
    </row>
    <row r="329">
      <c r="B329" s="26"/>
      <c r="D329" s="18"/>
      <c r="E329" s="19"/>
      <c r="F329" s="19"/>
    </row>
    <row r="330">
      <c r="B330" s="26"/>
      <c r="D330" s="18"/>
      <c r="E330" s="19"/>
      <c r="F330" s="19"/>
    </row>
    <row r="331">
      <c r="B331" s="26"/>
      <c r="D331" s="18"/>
      <c r="E331" s="19"/>
      <c r="F331" s="19"/>
    </row>
    <row r="332">
      <c r="B332" s="26"/>
      <c r="D332" s="18"/>
      <c r="E332" s="19"/>
      <c r="F332" s="19"/>
    </row>
    <row r="333">
      <c r="B333" s="26"/>
      <c r="D333" s="18"/>
      <c r="E333" s="19"/>
      <c r="F333" s="19"/>
    </row>
    <row r="334">
      <c r="B334" s="26"/>
      <c r="D334" s="18"/>
      <c r="E334" s="19"/>
      <c r="F334" s="19"/>
    </row>
    <row r="335">
      <c r="B335" s="26"/>
      <c r="D335" s="18"/>
      <c r="E335" s="19"/>
      <c r="F335" s="19"/>
    </row>
    <row r="336">
      <c r="B336" s="26"/>
      <c r="D336" s="18"/>
      <c r="E336" s="19"/>
      <c r="F336" s="19"/>
    </row>
    <row r="337">
      <c r="B337" s="26"/>
      <c r="D337" s="18"/>
      <c r="E337" s="19"/>
      <c r="F337" s="19"/>
    </row>
    <row r="338">
      <c r="B338" s="26"/>
      <c r="D338" s="18"/>
      <c r="E338" s="19"/>
      <c r="F338" s="19"/>
    </row>
    <row r="339">
      <c r="B339" s="26"/>
      <c r="D339" s="18"/>
      <c r="E339" s="19"/>
      <c r="F339" s="19"/>
    </row>
    <row r="340">
      <c r="B340" s="26"/>
      <c r="D340" s="18"/>
      <c r="E340" s="19"/>
      <c r="F340" s="19"/>
    </row>
    <row r="341">
      <c r="B341" s="26"/>
      <c r="D341" s="18"/>
      <c r="E341" s="19"/>
      <c r="F341" s="19"/>
    </row>
    <row r="342">
      <c r="B342" s="26"/>
      <c r="D342" s="18"/>
      <c r="E342" s="19"/>
      <c r="F342" s="19"/>
    </row>
    <row r="343">
      <c r="B343" s="26"/>
      <c r="D343" s="18"/>
      <c r="E343" s="19"/>
      <c r="F343" s="19"/>
    </row>
    <row r="344">
      <c r="B344" s="26"/>
      <c r="D344" s="18"/>
      <c r="E344" s="19"/>
      <c r="F344" s="19"/>
    </row>
    <row r="345">
      <c r="B345" s="26"/>
      <c r="D345" s="18"/>
      <c r="E345" s="19"/>
      <c r="F345" s="19"/>
    </row>
    <row r="346">
      <c r="B346" s="26"/>
      <c r="D346" s="18"/>
      <c r="E346" s="19"/>
      <c r="F346" s="19"/>
    </row>
    <row r="347">
      <c r="B347" s="26"/>
      <c r="D347" s="18"/>
      <c r="E347" s="19"/>
      <c r="F347" s="19"/>
    </row>
    <row r="348">
      <c r="B348" s="26"/>
      <c r="D348" s="18"/>
      <c r="E348" s="19"/>
      <c r="F348" s="19"/>
    </row>
    <row r="349">
      <c r="B349" s="26"/>
      <c r="D349" s="18"/>
      <c r="E349" s="19"/>
      <c r="F349" s="19"/>
    </row>
    <row r="350">
      <c r="B350" s="26"/>
      <c r="D350" s="18"/>
      <c r="E350" s="19"/>
      <c r="F350" s="19"/>
    </row>
    <row r="351">
      <c r="B351" s="26"/>
      <c r="D351" s="18"/>
      <c r="E351" s="19"/>
      <c r="F351" s="19"/>
    </row>
    <row r="352">
      <c r="B352" s="26"/>
      <c r="D352" s="18"/>
      <c r="E352" s="19"/>
      <c r="F352" s="19"/>
    </row>
    <row r="353">
      <c r="B353" s="26"/>
      <c r="D353" s="18"/>
      <c r="E353" s="19"/>
      <c r="F353" s="19"/>
    </row>
    <row r="354">
      <c r="B354" s="26"/>
      <c r="D354" s="18"/>
      <c r="E354" s="19"/>
      <c r="F354" s="19"/>
    </row>
    <row r="355">
      <c r="B355" s="26"/>
      <c r="D355" s="18"/>
      <c r="E355" s="19"/>
      <c r="F355" s="19"/>
    </row>
    <row r="356">
      <c r="B356" s="26"/>
      <c r="D356" s="18"/>
      <c r="E356" s="19"/>
      <c r="F356" s="19"/>
    </row>
    <row r="357">
      <c r="B357" s="26"/>
      <c r="D357" s="18"/>
      <c r="E357" s="19"/>
      <c r="F357" s="19"/>
    </row>
    <row r="358">
      <c r="B358" s="26"/>
      <c r="D358" s="18"/>
      <c r="E358" s="19"/>
      <c r="F358" s="19"/>
    </row>
    <row r="359">
      <c r="B359" s="26"/>
      <c r="D359" s="18"/>
      <c r="E359" s="19"/>
      <c r="F359" s="19"/>
    </row>
    <row r="360">
      <c r="B360" s="26"/>
      <c r="D360" s="18"/>
      <c r="E360" s="19"/>
      <c r="F360" s="19"/>
    </row>
    <row r="361">
      <c r="B361" s="26"/>
      <c r="D361" s="18"/>
      <c r="E361" s="19"/>
      <c r="F361" s="19"/>
    </row>
    <row r="362">
      <c r="B362" s="26"/>
      <c r="D362" s="18"/>
      <c r="E362" s="19"/>
      <c r="F362" s="19"/>
    </row>
    <row r="363">
      <c r="B363" s="26"/>
      <c r="D363" s="18"/>
      <c r="E363" s="19"/>
      <c r="F363" s="19"/>
    </row>
    <row r="364">
      <c r="B364" s="26"/>
      <c r="D364" s="18"/>
      <c r="E364" s="19"/>
      <c r="F364" s="19"/>
    </row>
    <row r="365">
      <c r="B365" s="26"/>
      <c r="D365" s="18"/>
      <c r="E365" s="19"/>
      <c r="F365" s="19"/>
    </row>
    <row r="366">
      <c r="B366" s="26"/>
      <c r="D366" s="18"/>
      <c r="E366" s="19"/>
      <c r="F366" s="19"/>
    </row>
    <row r="367">
      <c r="B367" s="26"/>
      <c r="D367" s="18"/>
      <c r="E367" s="19"/>
      <c r="F367" s="19"/>
    </row>
    <row r="368">
      <c r="B368" s="26"/>
      <c r="D368" s="18"/>
      <c r="E368" s="19"/>
      <c r="F368" s="19"/>
    </row>
    <row r="369">
      <c r="B369" s="26"/>
      <c r="D369" s="18"/>
      <c r="E369" s="19"/>
      <c r="F369" s="19"/>
    </row>
    <row r="370">
      <c r="B370" s="26"/>
      <c r="D370" s="18"/>
      <c r="E370" s="19"/>
      <c r="F370" s="19"/>
    </row>
    <row r="371">
      <c r="B371" s="26"/>
      <c r="D371" s="18"/>
      <c r="E371" s="19"/>
      <c r="F371" s="19"/>
    </row>
    <row r="372">
      <c r="B372" s="26"/>
      <c r="D372" s="18"/>
      <c r="E372" s="19"/>
      <c r="F372" s="19"/>
    </row>
    <row r="373">
      <c r="B373" s="26"/>
      <c r="D373" s="18"/>
      <c r="E373" s="19"/>
      <c r="F373" s="19"/>
    </row>
    <row r="374">
      <c r="B374" s="26"/>
      <c r="D374" s="18"/>
      <c r="E374" s="19"/>
      <c r="F374" s="19"/>
    </row>
    <row r="375">
      <c r="B375" s="26"/>
      <c r="D375" s="18"/>
      <c r="E375" s="19"/>
      <c r="F375" s="19"/>
    </row>
    <row r="376">
      <c r="B376" s="26"/>
      <c r="D376" s="18"/>
      <c r="E376" s="19"/>
      <c r="F376" s="19"/>
    </row>
    <row r="377">
      <c r="B377" s="26"/>
      <c r="D377" s="18"/>
      <c r="E377" s="19"/>
      <c r="F377" s="19"/>
    </row>
    <row r="378">
      <c r="B378" s="26"/>
      <c r="D378" s="18"/>
      <c r="E378" s="19"/>
      <c r="F378" s="19"/>
    </row>
    <row r="379">
      <c r="B379" s="26"/>
      <c r="D379" s="18"/>
      <c r="E379" s="19"/>
      <c r="F379" s="19"/>
    </row>
    <row r="380">
      <c r="B380" s="26"/>
      <c r="D380" s="18"/>
      <c r="E380" s="19"/>
      <c r="F380" s="19"/>
    </row>
    <row r="381">
      <c r="B381" s="26"/>
      <c r="D381" s="18"/>
      <c r="E381" s="19"/>
      <c r="F381" s="19"/>
    </row>
    <row r="382">
      <c r="B382" s="26"/>
      <c r="D382" s="18"/>
      <c r="E382" s="19"/>
      <c r="F382" s="19"/>
    </row>
    <row r="383">
      <c r="B383" s="26"/>
      <c r="D383" s="18"/>
      <c r="E383" s="19"/>
      <c r="F383" s="19"/>
    </row>
    <row r="384">
      <c r="B384" s="26"/>
      <c r="D384" s="18"/>
      <c r="E384" s="19"/>
      <c r="F384" s="19"/>
    </row>
    <row r="385">
      <c r="B385" s="26"/>
      <c r="D385" s="18"/>
      <c r="E385" s="19"/>
      <c r="F385" s="19"/>
    </row>
    <row r="386">
      <c r="B386" s="26"/>
      <c r="D386" s="18"/>
      <c r="E386" s="19"/>
      <c r="F386" s="19"/>
    </row>
    <row r="387">
      <c r="B387" s="26"/>
      <c r="D387" s="18"/>
      <c r="E387" s="19"/>
      <c r="F387" s="19"/>
    </row>
    <row r="388">
      <c r="B388" s="26"/>
      <c r="D388" s="18"/>
      <c r="E388" s="19"/>
      <c r="F388" s="19"/>
    </row>
    <row r="389">
      <c r="B389" s="26"/>
      <c r="D389" s="18"/>
      <c r="E389" s="19"/>
      <c r="F389" s="19"/>
    </row>
    <row r="390">
      <c r="B390" s="26"/>
      <c r="D390" s="18"/>
      <c r="E390" s="19"/>
      <c r="F390" s="19"/>
    </row>
    <row r="391">
      <c r="B391" s="26"/>
      <c r="D391" s="18"/>
      <c r="E391" s="19"/>
      <c r="F391" s="19"/>
    </row>
    <row r="392">
      <c r="B392" s="26"/>
      <c r="D392" s="18"/>
      <c r="E392" s="19"/>
      <c r="F392" s="19"/>
    </row>
    <row r="393">
      <c r="B393" s="26"/>
      <c r="D393" s="18"/>
      <c r="E393" s="19"/>
      <c r="F393" s="19"/>
    </row>
    <row r="394">
      <c r="B394" s="26"/>
      <c r="D394" s="18"/>
      <c r="E394" s="19"/>
      <c r="F394" s="19"/>
    </row>
    <row r="395">
      <c r="B395" s="26"/>
      <c r="D395" s="18"/>
      <c r="E395" s="19"/>
      <c r="F395" s="19"/>
    </row>
    <row r="396">
      <c r="B396" s="26"/>
      <c r="D396" s="18"/>
      <c r="E396" s="19"/>
      <c r="F396" s="19"/>
    </row>
    <row r="397">
      <c r="B397" s="26"/>
      <c r="D397" s="18"/>
      <c r="E397" s="19"/>
      <c r="F397" s="19"/>
    </row>
    <row r="398">
      <c r="B398" s="26"/>
      <c r="D398" s="18"/>
      <c r="E398" s="19"/>
      <c r="F398" s="19"/>
    </row>
    <row r="399">
      <c r="B399" s="26"/>
      <c r="D399" s="18"/>
      <c r="E399" s="19"/>
      <c r="F399" s="19"/>
    </row>
    <row r="400">
      <c r="B400" s="26"/>
      <c r="D400" s="18"/>
      <c r="E400" s="19"/>
      <c r="F400" s="19"/>
    </row>
    <row r="401">
      <c r="B401" s="26"/>
      <c r="D401" s="18"/>
      <c r="E401" s="19"/>
      <c r="F401" s="19"/>
    </row>
    <row r="402">
      <c r="B402" s="26"/>
      <c r="D402" s="18"/>
      <c r="E402" s="19"/>
      <c r="F402" s="19"/>
    </row>
    <row r="403">
      <c r="B403" s="26"/>
      <c r="D403" s="18"/>
      <c r="E403" s="19"/>
      <c r="F403" s="19"/>
    </row>
    <row r="404">
      <c r="B404" s="26"/>
      <c r="D404" s="18"/>
      <c r="E404" s="19"/>
      <c r="F404" s="19"/>
    </row>
    <row r="405">
      <c r="B405" s="26"/>
      <c r="D405" s="18"/>
      <c r="E405" s="19"/>
      <c r="F405" s="19"/>
    </row>
    <row r="406">
      <c r="B406" s="26"/>
      <c r="D406" s="18"/>
      <c r="E406" s="19"/>
      <c r="F406" s="19"/>
    </row>
    <row r="407">
      <c r="B407" s="26"/>
      <c r="D407" s="18"/>
      <c r="E407" s="19"/>
      <c r="F407" s="19"/>
    </row>
    <row r="408">
      <c r="B408" s="26"/>
      <c r="D408" s="18"/>
      <c r="E408" s="19"/>
      <c r="F408" s="19"/>
    </row>
    <row r="409">
      <c r="B409" s="26"/>
      <c r="D409" s="18"/>
      <c r="E409" s="19"/>
      <c r="F409" s="19"/>
    </row>
    <row r="410">
      <c r="B410" s="26"/>
      <c r="D410" s="18"/>
      <c r="E410" s="19"/>
      <c r="F410" s="19"/>
    </row>
    <row r="411">
      <c r="B411" s="26"/>
      <c r="D411" s="18"/>
      <c r="E411" s="19"/>
      <c r="F411" s="19"/>
    </row>
    <row r="412">
      <c r="B412" s="26"/>
      <c r="D412" s="18"/>
      <c r="E412" s="19"/>
      <c r="F412" s="19"/>
    </row>
    <row r="413">
      <c r="B413" s="26"/>
      <c r="D413" s="18"/>
      <c r="E413" s="19"/>
      <c r="F413" s="19"/>
    </row>
    <row r="414">
      <c r="B414" s="26"/>
      <c r="D414" s="18"/>
      <c r="E414" s="19"/>
      <c r="F414" s="19"/>
    </row>
    <row r="415">
      <c r="B415" s="26"/>
      <c r="D415" s="18"/>
      <c r="E415" s="19"/>
      <c r="F415" s="19"/>
    </row>
    <row r="416">
      <c r="B416" s="26"/>
      <c r="D416" s="18"/>
      <c r="E416" s="19"/>
      <c r="F416" s="19"/>
    </row>
    <row r="417">
      <c r="B417" s="26"/>
      <c r="D417" s="18"/>
      <c r="E417" s="19"/>
      <c r="F417" s="19"/>
    </row>
    <row r="418">
      <c r="B418" s="26"/>
      <c r="D418" s="18"/>
      <c r="E418" s="19"/>
      <c r="F418" s="19"/>
    </row>
    <row r="419">
      <c r="B419" s="26"/>
      <c r="D419" s="18"/>
      <c r="E419" s="19"/>
      <c r="F419" s="19"/>
    </row>
    <row r="420">
      <c r="B420" s="26"/>
      <c r="D420" s="18"/>
      <c r="E420" s="19"/>
      <c r="F420" s="19"/>
    </row>
    <row r="421">
      <c r="B421" s="26"/>
      <c r="D421" s="18"/>
      <c r="E421" s="19"/>
      <c r="F421" s="19"/>
    </row>
    <row r="422">
      <c r="B422" s="26"/>
      <c r="D422" s="18"/>
      <c r="E422" s="19"/>
      <c r="F422" s="19"/>
    </row>
    <row r="423">
      <c r="B423" s="26"/>
      <c r="D423" s="18"/>
      <c r="E423" s="19"/>
      <c r="F423" s="19"/>
    </row>
    <row r="424">
      <c r="B424" s="26"/>
      <c r="D424" s="18"/>
      <c r="E424" s="19"/>
      <c r="F424" s="19"/>
    </row>
    <row r="425">
      <c r="B425" s="26"/>
      <c r="D425" s="18"/>
      <c r="E425" s="19"/>
      <c r="F425" s="19"/>
    </row>
    <row r="426">
      <c r="B426" s="26"/>
      <c r="D426" s="18"/>
      <c r="E426" s="19"/>
      <c r="F426" s="19"/>
    </row>
    <row r="427">
      <c r="B427" s="26"/>
      <c r="D427" s="18"/>
      <c r="E427" s="19"/>
      <c r="F427" s="19"/>
    </row>
    <row r="428">
      <c r="B428" s="26"/>
      <c r="D428" s="18"/>
      <c r="E428" s="19"/>
      <c r="F428" s="19"/>
    </row>
    <row r="429">
      <c r="B429" s="26"/>
      <c r="D429" s="18"/>
      <c r="E429" s="19"/>
      <c r="F429" s="19"/>
    </row>
    <row r="430">
      <c r="B430" s="26"/>
      <c r="D430" s="18"/>
      <c r="E430" s="19"/>
      <c r="F430" s="19"/>
    </row>
    <row r="431">
      <c r="B431" s="26"/>
      <c r="D431" s="18"/>
      <c r="E431" s="19"/>
      <c r="F431" s="19"/>
    </row>
    <row r="432">
      <c r="B432" s="26"/>
      <c r="D432" s="18"/>
      <c r="E432" s="19"/>
      <c r="F432" s="19"/>
    </row>
    <row r="433">
      <c r="B433" s="26"/>
      <c r="D433" s="18"/>
      <c r="E433" s="19"/>
      <c r="F433" s="19"/>
    </row>
    <row r="434">
      <c r="B434" s="26"/>
      <c r="D434" s="18"/>
      <c r="E434" s="19"/>
      <c r="F434" s="19"/>
    </row>
    <row r="435">
      <c r="B435" s="26"/>
      <c r="D435" s="18"/>
      <c r="E435" s="19"/>
      <c r="F435" s="19"/>
    </row>
    <row r="436">
      <c r="B436" s="26"/>
      <c r="D436" s="18"/>
      <c r="E436" s="19"/>
      <c r="F436" s="19"/>
    </row>
    <row r="437">
      <c r="B437" s="26"/>
      <c r="D437" s="18"/>
      <c r="E437" s="19"/>
      <c r="F437" s="19"/>
    </row>
    <row r="438">
      <c r="B438" s="26"/>
      <c r="D438" s="18"/>
      <c r="E438" s="19"/>
      <c r="F438" s="19"/>
    </row>
    <row r="439">
      <c r="B439" s="26"/>
      <c r="D439" s="18"/>
      <c r="E439" s="19"/>
      <c r="F439" s="19"/>
    </row>
    <row r="440">
      <c r="B440" s="26"/>
      <c r="D440" s="18"/>
      <c r="E440" s="19"/>
      <c r="F440" s="19"/>
    </row>
    <row r="441">
      <c r="B441" s="26"/>
      <c r="D441" s="18"/>
      <c r="E441" s="19"/>
      <c r="F441" s="19"/>
    </row>
    <row r="442">
      <c r="B442" s="26"/>
      <c r="D442" s="18"/>
      <c r="E442" s="19"/>
      <c r="F442" s="19"/>
    </row>
    <row r="443">
      <c r="B443" s="26"/>
      <c r="D443" s="18"/>
      <c r="E443" s="19"/>
      <c r="F443" s="19"/>
    </row>
    <row r="444">
      <c r="B444" s="26"/>
      <c r="D444" s="18"/>
      <c r="E444" s="19"/>
      <c r="F444" s="19"/>
    </row>
    <row r="445">
      <c r="B445" s="26"/>
      <c r="D445" s="18"/>
      <c r="E445" s="19"/>
      <c r="F445" s="19"/>
    </row>
    <row r="446">
      <c r="B446" s="26"/>
      <c r="D446" s="18"/>
      <c r="E446" s="19"/>
      <c r="F446" s="19"/>
    </row>
    <row r="447">
      <c r="B447" s="26"/>
      <c r="D447" s="18"/>
      <c r="E447" s="19"/>
      <c r="F447" s="19"/>
    </row>
    <row r="448">
      <c r="B448" s="26"/>
      <c r="D448" s="18"/>
      <c r="E448" s="19"/>
      <c r="F448" s="19"/>
    </row>
    <row r="449">
      <c r="B449" s="26"/>
      <c r="D449" s="18"/>
      <c r="E449" s="19"/>
      <c r="F449" s="19"/>
    </row>
    <row r="450">
      <c r="B450" s="26"/>
      <c r="D450" s="18"/>
      <c r="E450" s="19"/>
      <c r="F450" s="19"/>
    </row>
    <row r="451">
      <c r="B451" s="26"/>
      <c r="D451" s="18"/>
      <c r="E451" s="19"/>
      <c r="F451" s="19"/>
    </row>
    <row r="452">
      <c r="B452" s="26"/>
      <c r="D452" s="18"/>
      <c r="E452" s="19"/>
      <c r="F452" s="19"/>
    </row>
    <row r="453">
      <c r="B453" s="26"/>
      <c r="D453" s="18"/>
      <c r="E453" s="19"/>
      <c r="F453" s="19"/>
    </row>
    <row r="454">
      <c r="B454" s="26"/>
      <c r="D454" s="18"/>
      <c r="E454" s="19"/>
      <c r="F454" s="19"/>
    </row>
    <row r="455">
      <c r="B455" s="26"/>
      <c r="D455" s="18"/>
      <c r="E455" s="19"/>
      <c r="F455" s="19"/>
    </row>
    <row r="456">
      <c r="B456" s="26"/>
      <c r="D456" s="18"/>
      <c r="E456" s="19"/>
      <c r="F456" s="19"/>
    </row>
    <row r="457">
      <c r="B457" s="26"/>
      <c r="D457" s="18"/>
      <c r="E457" s="19"/>
      <c r="F457" s="19"/>
    </row>
    <row r="458">
      <c r="B458" s="26"/>
      <c r="D458" s="18"/>
      <c r="E458" s="19"/>
      <c r="F458" s="19"/>
    </row>
    <row r="459">
      <c r="B459" s="26"/>
      <c r="D459" s="18"/>
      <c r="E459" s="19"/>
      <c r="F459" s="19"/>
    </row>
    <row r="460">
      <c r="B460" s="26"/>
      <c r="D460" s="18"/>
      <c r="E460" s="19"/>
      <c r="F460" s="19"/>
    </row>
    <row r="461">
      <c r="B461" s="26"/>
      <c r="D461" s="18"/>
      <c r="E461" s="19"/>
      <c r="F461" s="19"/>
    </row>
    <row r="462">
      <c r="B462" s="26"/>
      <c r="D462" s="18"/>
      <c r="E462" s="19"/>
      <c r="F462" s="19"/>
    </row>
    <row r="463">
      <c r="B463" s="26"/>
      <c r="D463" s="18"/>
      <c r="E463" s="19"/>
      <c r="F463" s="19"/>
    </row>
    <row r="464">
      <c r="B464" s="26"/>
      <c r="D464" s="18"/>
      <c r="E464" s="19"/>
      <c r="F464" s="19"/>
    </row>
    <row r="465">
      <c r="B465" s="26"/>
      <c r="D465" s="18"/>
      <c r="E465" s="19"/>
      <c r="F465" s="19"/>
    </row>
    <row r="466">
      <c r="B466" s="26"/>
      <c r="D466" s="18"/>
      <c r="E466" s="19"/>
      <c r="F466" s="19"/>
    </row>
    <row r="467">
      <c r="B467" s="26"/>
      <c r="D467" s="18"/>
      <c r="E467" s="19"/>
      <c r="F467" s="19"/>
    </row>
    <row r="468">
      <c r="B468" s="26"/>
      <c r="D468" s="18"/>
      <c r="E468" s="19"/>
      <c r="F468" s="19"/>
    </row>
    <row r="469">
      <c r="B469" s="26"/>
      <c r="D469" s="18"/>
      <c r="E469" s="19"/>
      <c r="F469" s="19"/>
    </row>
    <row r="470">
      <c r="B470" s="26"/>
      <c r="D470" s="18"/>
      <c r="E470" s="19"/>
      <c r="F470" s="19"/>
    </row>
    <row r="471">
      <c r="B471" s="26"/>
      <c r="D471" s="18"/>
      <c r="E471" s="19"/>
      <c r="F471" s="19"/>
    </row>
    <row r="472">
      <c r="B472" s="26"/>
      <c r="D472" s="18"/>
      <c r="E472" s="19"/>
      <c r="F472" s="19"/>
    </row>
    <row r="473">
      <c r="B473" s="26"/>
      <c r="D473" s="18"/>
      <c r="E473" s="19"/>
      <c r="F473" s="19"/>
    </row>
    <row r="474">
      <c r="B474" s="26"/>
      <c r="D474" s="18"/>
      <c r="E474" s="19"/>
      <c r="F474" s="19"/>
    </row>
    <row r="475">
      <c r="B475" s="26"/>
      <c r="D475" s="18"/>
      <c r="E475" s="19"/>
      <c r="F475" s="19"/>
    </row>
    <row r="476">
      <c r="B476" s="26"/>
      <c r="D476" s="18"/>
      <c r="E476" s="19"/>
      <c r="F476" s="19"/>
    </row>
    <row r="477">
      <c r="B477" s="26"/>
      <c r="D477" s="18"/>
      <c r="E477" s="19"/>
      <c r="F477" s="19"/>
    </row>
    <row r="478">
      <c r="B478" s="26"/>
      <c r="D478" s="18"/>
      <c r="E478" s="19"/>
      <c r="F478" s="19"/>
    </row>
    <row r="479">
      <c r="B479" s="26"/>
      <c r="D479" s="18"/>
      <c r="E479" s="19"/>
      <c r="F479" s="19"/>
    </row>
    <row r="480">
      <c r="B480" s="26"/>
      <c r="D480" s="18"/>
      <c r="E480" s="19"/>
      <c r="F480" s="19"/>
    </row>
    <row r="481">
      <c r="B481" s="26"/>
      <c r="D481" s="18"/>
      <c r="E481" s="19"/>
      <c r="F481" s="19"/>
    </row>
    <row r="482">
      <c r="B482" s="26"/>
      <c r="D482" s="18"/>
      <c r="E482" s="19"/>
      <c r="F482" s="19"/>
    </row>
    <row r="483">
      <c r="B483" s="26"/>
      <c r="D483" s="18"/>
      <c r="E483" s="19"/>
      <c r="F483" s="19"/>
    </row>
    <row r="484">
      <c r="B484" s="26"/>
      <c r="D484" s="18"/>
      <c r="E484" s="19"/>
      <c r="F484" s="19"/>
    </row>
    <row r="485">
      <c r="B485" s="26"/>
      <c r="D485" s="18"/>
      <c r="E485" s="19"/>
      <c r="F485" s="19"/>
    </row>
    <row r="486">
      <c r="B486" s="26"/>
      <c r="D486" s="18"/>
      <c r="E486" s="19"/>
      <c r="F486" s="19"/>
    </row>
    <row r="487">
      <c r="B487" s="26"/>
      <c r="D487" s="18"/>
      <c r="E487" s="19"/>
      <c r="F487" s="19"/>
    </row>
    <row r="488">
      <c r="B488" s="26"/>
      <c r="D488" s="18"/>
      <c r="E488" s="19"/>
      <c r="F488" s="19"/>
    </row>
    <row r="489">
      <c r="B489" s="26"/>
      <c r="D489" s="18"/>
      <c r="E489" s="19"/>
      <c r="F489" s="19"/>
    </row>
    <row r="490">
      <c r="B490" s="26"/>
      <c r="D490" s="18"/>
      <c r="E490" s="19"/>
      <c r="F490" s="19"/>
    </row>
    <row r="491">
      <c r="B491" s="26"/>
      <c r="D491" s="18"/>
      <c r="E491" s="19"/>
      <c r="F491" s="19"/>
    </row>
    <row r="492">
      <c r="B492" s="26"/>
      <c r="D492" s="18"/>
      <c r="E492" s="19"/>
      <c r="F492" s="19"/>
    </row>
    <row r="493">
      <c r="B493" s="26"/>
      <c r="D493" s="18"/>
      <c r="E493" s="19"/>
      <c r="F493" s="19"/>
    </row>
    <row r="494">
      <c r="B494" s="26"/>
      <c r="D494" s="18"/>
      <c r="E494" s="19"/>
      <c r="F494" s="19"/>
    </row>
    <row r="495">
      <c r="B495" s="26"/>
      <c r="D495" s="18"/>
      <c r="E495" s="19"/>
      <c r="F495" s="19"/>
    </row>
    <row r="496">
      <c r="B496" s="26"/>
      <c r="D496" s="18"/>
      <c r="E496" s="19"/>
      <c r="F496" s="19"/>
    </row>
    <row r="497">
      <c r="B497" s="26"/>
      <c r="D497" s="18"/>
      <c r="E497" s="19"/>
      <c r="F497" s="19"/>
    </row>
    <row r="498">
      <c r="B498" s="26"/>
      <c r="D498" s="18"/>
      <c r="E498" s="19"/>
      <c r="F498" s="19"/>
    </row>
    <row r="499">
      <c r="B499" s="26"/>
      <c r="D499" s="18"/>
      <c r="E499" s="19"/>
      <c r="F499" s="19"/>
    </row>
    <row r="500">
      <c r="B500" s="26"/>
      <c r="D500" s="18"/>
      <c r="E500" s="19"/>
      <c r="F500" s="19"/>
    </row>
    <row r="501">
      <c r="B501" s="26"/>
      <c r="D501" s="18"/>
      <c r="E501" s="19"/>
      <c r="F501" s="19"/>
    </row>
    <row r="502">
      <c r="B502" s="26"/>
      <c r="D502" s="18"/>
      <c r="E502" s="19"/>
      <c r="F502" s="19"/>
    </row>
    <row r="503">
      <c r="B503" s="26"/>
      <c r="D503" s="18"/>
      <c r="E503" s="19"/>
      <c r="F503" s="19"/>
    </row>
    <row r="504">
      <c r="B504" s="26"/>
      <c r="D504" s="18"/>
      <c r="E504" s="19"/>
      <c r="F504" s="19"/>
    </row>
    <row r="505">
      <c r="B505" s="26"/>
      <c r="D505" s="18"/>
      <c r="E505" s="19"/>
      <c r="F505" s="19"/>
    </row>
    <row r="506">
      <c r="B506" s="26"/>
      <c r="D506" s="18"/>
      <c r="E506" s="19"/>
      <c r="F506" s="19"/>
    </row>
    <row r="507">
      <c r="B507" s="26"/>
      <c r="D507" s="18"/>
      <c r="E507" s="19"/>
      <c r="F507" s="19"/>
    </row>
    <row r="508">
      <c r="B508" s="26"/>
      <c r="D508" s="18"/>
      <c r="E508" s="19"/>
      <c r="F508" s="19"/>
    </row>
    <row r="509">
      <c r="B509" s="26"/>
      <c r="D509" s="18"/>
      <c r="E509" s="19"/>
      <c r="F509" s="19"/>
    </row>
    <row r="510">
      <c r="B510" s="26"/>
      <c r="D510" s="18"/>
      <c r="E510" s="19"/>
      <c r="F510" s="19"/>
    </row>
    <row r="511">
      <c r="B511" s="26"/>
      <c r="D511" s="18"/>
      <c r="E511" s="19"/>
      <c r="F511" s="19"/>
    </row>
    <row r="512">
      <c r="B512" s="26"/>
      <c r="D512" s="18"/>
      <c r="E512" s="19"/>
      <c r="F512" s="19"/>
    </row>
    <row r="513">
      <c r="B513" s="26"/>
      <c r="D513" s="18"/>
      <c r="E513" s="19"/>
      <c r="F513" s="19"/>
    </row>
    <row r="514">
      <c r="B514" s="26"/>
      <c r="D514" s="18"/>
      <c r="E514" s="19"/>
      <c r="F514" s="19"/>
    </row>
    <row r="515">
      <c r="B515" s="26"/>
      <c r="D515" s="18"/>
      <c r="E515" s="19"/>
      <c r="F515" s="19"/>
    </row>
    <row r="516">
      <c r="B516" s="26"/>
      <c r="D516" s="18"/>
      <c r="E516" s="19"/>
      <c r="F516" s="19"/>
    </row>
    <row r="517">
      <c r="B517" s="26"/>
      <c r="D517" s="18"/>
      <c r="E517" s="19"/>
      <c r="F517" s="19"/>
    </row>
    <row r="518">
      <c r="B518" s="26"/>
      <c r="D518" s="18"/>
      <c r="E518" s="19"/>
      <c r="F518" s="19"/>
    </row>
    <row r="519">
      <c r="B519" s="26"/>
      <c r="D519" s="18"/>
      <c r="E519" s="19"/>
      <c r="F519" s="19"/>
    </row>
    <row r="520">
      <c r="B520" s="26"/>
      <c r="D520" s="18"/>
      <c r="E520" s="19"/>
      <c r="F520" s="19"/>
    </row>
    <row r="521">
      <c r="B521" s="26"/>
      <c r="D521" s="18"/>
      <c r="E521" s="19"/>
      <c r="F521" s="19"/>
    </row>
    <row r="522">
      <c r="B522" s="26"/>
      <c r="D522" s="18"/>
      <c r="E522" s="19"/>
      <c r="F522" s="19"/>
    </row>
    <row r="523">
      <c r="B523" s="26"/>
      <c r="D523" s="18"/>
      <c r="E523" s="19"/>
      <c r="F523" s="19"/>
    </row>
    <row r="524">
      <c r="B524" s="26"/>
      <c r="D524" s="18"/>
      <c r="E524" s="19"/>
      <c r="F524" s="19"/>
    </row>
    <row r="525">
      <c r="B525" s="26"/>
      <c r="D525" s="18"/>
      <c r="E525" s="19"/>
      <c r="F525" s="19"/>
    </row>
    <row r="526">
      <c r="B526" s="26"/>
      <c r="D526" s="18"/>
      <c r="E526" s="19"/>
      <c r="F526" s="19"/>
    </row>
    <row r="527">
      <c r="B527" s="26"/>
      <c r="D527" s="18"/>
      <c r="E527" s="19"/>
      <c r="F527" s="19"/>
    </row>
    <row r="528">
      <c r="B528" s="26"/>
      <c r="D528" s="18"/>
      <c r="E528" s="19"/>
      <c r="F528" s="19"/>
    </row>
    <row r="529">
      <c r="B529" s="26"/>
      <c r="D529" s="18"/>
      <c r="E529" s="19"/>
      <c r="F529" s="19"/>
    </row>
    <row r="530">
      <c r="B530" s="26"/>
      <c r="D530" s="18"/>
      <c r="E530" s="19"/>
      <c r="F530" s="19"/>
    </row>
    <row r="531">
      <c r="B531" s="26"/>
      <c r="D531" s="18"/>
      <c r="E531" s="19"/>
      <c r="F531" s="19"/>
    </row>
    <row r="532">
      <c r="B532" s="26"/>
      <c r="D532" s="18"/>
      <c r="E532" s="19"/>
      <c r="F532" s="19"/>
    </row>
    <row r="533">
      <c r="B533" s="26"/>
      <c r="D533" s="18"/>
      <c r="E533" s="19"/>
      <c r="F533" s="19"/>
    </row>
    <row r="534">
      <c r="B534" s="26"/>
      <c r="D534" s="18"/>
      <c r="E534" s="19"/>
      <c r="F534" s="19"/>
    </row>
    <row r="535">
      <c r="B535" s="26"/>
      <c r="D535" s="18"/>
      <c r="E535" s="19"/>
      <c r="F535" s="19"/>
    </row>
    <row r="536">
      <c r="B536" s="26"/>
      <c r="D536" s="18"/>
      <c r="E536" s="19"/>
      <c r="F536" s="19"/>
    </row>
    <row r="537">
      <c r="B537" s="26"/>
      <c r="D537" s="18"/>
      <c r="E537" s="19"/>
      <c r="F537" s="19"/>
    </row>
    <row r="538">
      <c r="B538" s="26"/>
      <c r="D538" s="18"/>
      <c r="E538" s="19"/>
      <c r="F538" s="19"/>
    </row>
    <row r="539">
      <c r="B539" s="26"/>
      <c r="D539" s="18"/>
      <c r="E539" s="19"/>
      <c r="F539" s="19"/>
    </row>
    <row r="540">
      <c r="B540" s="26"/>
      <c r="D540" s="18"/>
      <c r="E540" s="19"/>
      <c r="F540" s="19"/>
    </row>
    <row r="541">
      <c r="B541" s="26"/>
      <c r="D541" s="18"/>
      <c r="E541" s="19"/>
      <c r="F541" s="19"/>
    </row>
    <row r="542">
      <c r="B542" s="26"/>
      <c r="D542" s="18"/>
      <c r="E542" s="19"/>
      <c r="F542" s="19"/>
    </row>
    <row r="543">
      <c r="B543" s="26"/>
      <c r="D543" s="18"/>
      <c r="E543" s="19"/>
      <c r="F543" s="19"/>
    </row>
    <row r="544">
      <c r="B544" s="26"/>
      <c r="D544" s="18"/>
      <c r="E544" s="19"/>
      <c r="F544" s="19"/>
    </row>
    <row r="545">
      <c r="B545" s="26"/>
      <c r="D545" s="18"/>
      <c r="E545" s="19"/>
      <c r="F545" s="19"/>
    </row>
    <row r="546">
      <c r="B546" s="26"/>
      <c r="D546" s="18"/>
      <c r="E546" s="19"/>
      <c r="F546" s="19"/>
    </row>
    <row r="547">
      <c r="B547" s="26"/>
      <c r="D547" s="18"/>
      <c r="E547" s="19"/>
      <c r="F547" s="19"/>
    </row>
    <row r="548">
      <c r="B548" s="26"/>
      <c r="D548" s="18"/>
      <c r="E548" s="19"/>
      <c r="F548" s="19"/>
    </row>
    <row r="549">
      <c r="B549" s="26"/>
      <c r="D549" s="18"/>
      <c r="E549" s="19"/>
      <c r="F549" s="19"/>
    </row>
    <row r="550">
      <c r="B550" s="26"/>
      <c r="D550" s="18"/>
      <c r="E550" s="19"/>
      <c r="F550" s="19"/>
    </row>
    <row r="551">
      <c r="B551" s="26"/>
      <c r="D551" s="18"/>
      <c r="E551" s="19"/>
      <c r="F551" s="19"/>
    </row>
    <row r="552">
      <c r="B552" s="26"/>
      <c r="D552" s="18"/>
      <c r="E552" s="19"/>
      <c r="F552" s="19"/>
    </row>
    <row r="553">
      <c r="B553" s="26"/>
      <c r="D553" s="18"/>
      <c r="E553" s="19"/>
      <c r="F553" s="19"/>
    </row>
    <row r="554">
      <c r="B554" s="26"/>
      <c r="D554" s="18"/>
      <c r="E554" s="19"/>
      <c r="F554" s="19"/>
    </row>
    <row r="555">
      <c r="B555" s="26"/>
      <c r="D555" s="18"/>
      <c r="E555" s="19"/>
      <c r="F555" s="19"/>
    </row>
    <row r="556">
      <c r="B556" s="26"/>
      <c r="D556" s="18"/>
      <c r="E556" s="19"/>
      <c r="F556" s="19"/>
    </row>
    <row r="557">
      <c r="B557" s="26"/>
      <c r="D557" s="18"/>
      <c r="E557" s="19"/>
      <c r="F557" s="19"/>
    </row>
    <row r="558">
      <c r="B558" s="26"/>
      <c r="D558" s="18"/>
      <c r="E558" s="19"/>
      <c r="F558" s="19"/>
    </row>
    <row r="559">
      <c r="B559" s="26"/>
      <c r="D559" s="18"/>
      <c r="E559" s="19"/>
      <c r="F559" s="19"/>
    </row>
    <row r="560">
      <c r="B560" s="26"/>
      <c r="D560" s="18"/>
      <c r="E560" s="19"/>
      <c r="F560" s="19"/>
    </row>
    <row r="561">
      <c r="B561" s="26"/>
      <c r="D561" s="18"/>
      <c r="E561" s="19"/>
      <c r="F561" s="19"/>
    </row>
    <row r="562">
      <c r="B562" s="26"/>
      <c r="D562" s="18"/>
      <c r="E562" s="19"/>
      <c r="F562" s="19"/>
    </row>
    <row r="563">
      <c r="B563" s="26"/>
      <c r="D563" s="18"/>
      <c r="E563" s="19"/>
      <c r="F563" s="19"/>
    </row>
    <row r="564">
      <c r="B564" s="26"/>
      <c r="D564" s="18"/>
      <c r="E564" s="19"/>
      <c r="F564" s="19"/>
    </row>
    <row r="565">
      <c r="B565" s="26"/>
      <c r="D565" s="18"/>
      <c r="E565" s="19"/>
      <c r="F565" s="19"/>
    </row>
    <row r="566">
      <c r="B566" s="26"/>
      <c r="D566" s="18"/>
      <c r="E566" s="19"/>
      <c r="F566" s="19"/>
    </row>
    <row r="567">
      <c r="B567" s="26"/>
      <c r="D567" s="18"/>
      <c r="E567" s="19"/>
      <c r="F567" s="19"/>
    </row>
    <row r="568">
      <c r="B568" s="26"/>
      <c r="D568" s="18"/>
      <c r="E568" s="19"/>
      <c r="F568" s="19"/>
    </row>
    <row r="569">
      <c r="B569" s="26"/>
      <c r="D569" s="18"/>
      <c r="E569" s="19"/>
      <c r="F569" s="19"/>
    </row>
    <row r="570">
      <c r="B570" s="26"/>
      <c r="D570" s="18"/>
      <c r="E570" s="19"/>
      <c r="F570" s="19"/>
    </row>
    <row r="571">
      <c r="B571" s="26"/>
      <c r="D571" s="18"/>
      <c r="E571" s="19"/>
      <c r="F571" s="19"/>
    </row>
    <row r="572">
      <c r="B572" s="26"/>
      <c r="D572" s="18"/>
      <c r="E572" s="19"/>
      <c r="F572" s="19"/>
    </row>
    <row r="573">
      <c r="B573" s="26"/>
      <c r="D573" s="18"/>
      <c r="E573" s="19"/>
      <c r="F573" s="19"/>
    </row>
    <row r="574">
      <c r="B574" s="26"/>
      <c r="D574" s="18"/>
      <c r="E574" s="19"/>
      <c r="F574" s="19"/>
    </row>
    <row r="575">
      <c r="B575" s="26"/>
      <c r="D575" s="18"/>
      <c r="E575" s="19"/>
      <c r="F575" s="19"/>
    </row>
    <row r="576">
      <c r="B576" s="26"/>
      <c r="D576" s="18"/>
      <c r="E576" s="19"/>
      <c r="F576" s="19"/>
    </row>
    <row r="577">
      <c r="B577" s="26"/>
      <c r="D577" s="18"/>
      <c r="E577" s="19"/>
      <c r="F577" s="19"/>
    </row>
    <row r="578">
      <c r="B578" s="26"/>
      <c r="D578" s="18"/>
      <c r="E578" s="19"/>
      <c r="F578" s="19"/>
    </row>
    <row r="579">
      <c r="B579" s="26"/>
      <c r="D579" s="18"/>
      <c r="E579" s="19"/>
      <c r="F579" s="19"/>
    </row>
    <row r="580">
      <c r="B580" s="26"/>
      <c r="D580" s="18"/>
      <c r="E580" s="19"/>
      <c r="F580" s="19"/>
    </row>
    <row r="581">
      <c r="B581" s="26"/>
      <c r="D581" s="18"/>
      <c r="E581" s="19"/>
      <c r="F581" s="19"/>
    </row>
    <row r="582">
      <c r="B582" s="26"/>
      <c r="D582" s="18"/>
      <c r="E582" s="19"/>
      <c r="F582" s="19"/>
    </row>
    <row r="583">
      <c r="B583" s="26"/>
      <c r="D583" s="18"/>
      <c r="E583" s="19"/>
      <c r="F583" s="19"/>
    </row>
    <row r="584">
      <c r="B584" s="26"/>
      <c r="D584" s="18"/>
      <c r="E584" s="19"/>
      <c r="F584" s="19"/>
    </row>
    <row r="585">
      <c r="B585" s="26"/>
      <c r="D585" s="18"/>
      <c r="E585" s="19"/>
      <c r="F585" s="19"/>
    </row>
    <row r="586">
      <c r="B586" s="26"/>
      <c r="D586" s="18"/>
      <c r="E586" s="19"/>
      <c r="F586" s="19"/>
    </row>
    <row r="587">
      <c r="B587" s="26"/>
      <c r="D587" s="18"/>
      <c r="E587" s="19"/>
      <c r="F587" s="19"/>
    </row>
    <row r="588">
      <c r="B588" s="26"/>
      <c r="D588" s="18"/>
      <c r="E588" s="19"/>
      <c r="F588" s="19"/>
    </row>
    <row r="589">
      <c r="B589" s="26"/>
      <c r="D589" s="18"/>
      <c r="E589" s="19"/>
      <c r="F589" s="19"/>
    </row>
    <row r="590">
      <c r="B590" s="26"/>
      <c r="D590" s="18"/>
      <c r="E590" s="19"/>
      <c r="F590" s="19"/>
    </row>
    <row r="591">
      <c r="B591" s="26"/>
      <c r="D591" s="18"/>
      <c r="E591" s="19"/>
      <c r="F591" s="19"/>
    </row>
    <row r="592">
      <c r="B592" s="26"/>
      <c r="D592" s="18"/>
      <c r="E592" s="19"/>
      <c r="F592" s="19"/>
    </row>
    <row r="593">
      <c r="B593" s="26"/>
      <c r="D593" s="18"/>
      <c r="E593" s="19"/>
      <c r="F593" s="19"/>
    </row>
    <row r="594">
      <c r="B594" s="26"/>
      <c r="D594" s="18"/>
      <c r="E594" s="19"/>
      <c r="F594" s="19"/>
    </row>
    <row r="595">
      <c r="B595" s="26"/>
      <c r="D595" s="18"/>
      <c r="E595" s="19"/>
      <c r="F595" s="19"/>
    </row>
    <row r="596">
      <c r="B596" s="26"/>
      <c r="D596" s="18"/>
      <c r="E596" s="19"/>
      <c r="F596" s="19"/>
    </row>
    <row r="597">
      <c r="B597" s="26"/>
      <c r="D597" s="18"/>
      <c r="E597" s="19"/>
      <c r="F597" s="19"/>
    </row>
    <row r="598">
      <c r="B598" s="26"/>
      <c r="D598" s="18"/>
      <c r="E598" s="19"/>
      <c r="F598" s="19"/>
    </row>
    <row r="599">
      <c r="B599" s="26"/>
      <c r="D599" s="18"/>
      <c r="E599" s="19"/>
      <c r="F599" s="19"/>
    </row>
    <row r="600">
      <c r="B600" s="26"/>
      <c r="D600" s="18"/>
      <c r="E600" s="19"/>
      <c r="F600" s="19"/>
    </row>
    <row r="601">
      <c r="B601" s="26"/>
      <c r="D601" s="18"/>
      <c r="E601" s="19"/>
      <c r="F601" s="19"/>
    </row>
    <row r="602">
      <c r="B602" s="26"/>
      <c r="D602" s="18"/>
      <c r="E602" s="19"/>
      <c r="F602" s="19"/>
    </row>
    <row r="603">
      <c r="B603" s="26"/>
      <c r="D603" s="18"/>
      <c r="E603" s="19"/>
      <c r="F603" s="19"/>
    </row>
    <row r="604">
      <c r="B604" s="26"/>
      <c r="D604" s="18"/>
      <c r="E604" s="19"/>
      <c r="F604" s="19"/>
    </row>
    <row r="605">
      <c r="B605" s="26"/>
      <c r="D605" s="18"/>
      <c r="E605" s="19"/>
      <c r="F605" s="19"/>
    </row>
    <row r="606">
      <c r="B606" s="26"/>
      <c r="D606" s="18"/>
      <c r="E606" s="19"/>
      <c r="F606" s="19"/>
    </row>
    <row r="607">
      <c r="B607" s="26"/>
      <c r="D607" s="18"/>
      <c r="E607" s="19"/>
      <c r="F607" s="19"/>
    </row>
    <row r="608">
      <c r="B608" s="26"/>
      <c r="D608" s="18"/>
      <c r="E608" s="19"/>
      <c r="F608" s="19"/>
    </row>
    <row r="609">
      <c r="B609" s="26"/>
      <c r="D609" s="18"/>
      <c r="E609" s="19"/>
      <c r="F609" s="19"/>
    </row>
    <row r="610">
      <c r="B610" s="26"/>
      <c r="D610" s="18"/>
      <c r="E610" s="19"/>
      <c r="F610" s="19"/>
    </row>
    <row r="611">
      <c r="B611" s="26"/>
      <c r="D611" s="18"/>
      <c r="E611" s="19"/>
      <c r="F611" s="19"/>
    </row>
    <row r="612">
      <c r="B612" s="26"/>
      <c r="D612" s="18"/>
      <c r="E612" s="19"/>
      <c r="F612" s="19"/>
    </row>
    <row r="613">
      <c r="B613" s="26"/>
      <c r="D613" s="18"/>
      <c r="E613" s="19"/>
      <c r="F613" s="19"/>
    </row>
    <row r="614">
      <c r="B614" s="26"/>
      <c r="D614" s="18"/>
      <c r="E614" s="19"/>
      <c r="F614" s="19"/>
    </row>
    <row r="615">
      <c r="B615" s="26"/>
      <c r="D615" s="18"/>
      <c r="E615" s="19"/>
      <c r="F615" s="19"/>
    </row>
    <row r="616">
      <c r="B616" s="26"/>
      <c r="D616" s="18"/>
      <c r="E616" s="19"/>
      <c r="F616" s="19"/>
    </row>
    <row r="617">
      <c r="B617" s="26"/>
      <c r="D617" s="18"/>
      <c r="E617" s="19"/>
      <c r="F617" s="19"/>
    </row>
    <row r="618">
      <c r="B618" s="26"/>
      <c r="D618" s="18"/>
      <c r="E618" s="19"/>
      <c r="F618" s="19"/>
    </row>
    <row r="619">
      <c r="B619" s="26"/>
      <c r="D619" s="18"/>
      <c r="E619" s="19"/>
      <c r="F619" s="19"/>
    </row>
    <row r="620">
      <c r="B620" s="26"/>
      <c r="D620" s="18"/>
      <c r="E620" s="19"/>
      <c r="F620" s="19"/>
    </row>
    <row r="621">
      <c r="B621" s="26"/>
      <c r="D621" s="18"/>
      <c r="E621" s="19"/>
      <c r="F621" s="19"/>
    </row>
    <row r="622">
      <c r="B622" s="26"/>
      <c r="D622" s="18"/>
      <c r="E622" s="19"/>
      <c r="F622" s="19"/>
    </row>
    <row r="623">
      <c r="B623" s="26"/>
      <c r="D623" s="18"/>
      <c r="E623" s="19"/>
      <c r="F623" s="19"/>
    </row>
    <row r="624">
      <c r="B624" s="26"/>
      <c r="D624" s="18"/>
      <c r="E624" s="19"/>
      <c r="F624" s="19"/>
    </row>
    <row r="625">
      <c r="B625" s="26"/>
      <c r="D625" s="18"/>
      <c r="E625" s="19"/>
      <c r="F625" s="19"/>
    </row>
    <row r="626">
      <c r="B626" s="26"/>
      <c r="D626" s="18"/>
      <c r="E626" s="19"/>
      <c r="F626" s="19"/>
    </row>
    <row r="627">
      <c r="B627" s="26"/>
      <c r="D627" s="18"/>
      <c r="E627" s="19"/>
      <c r="F627" s="19"/>
    </row>
    <row r="628">
      <c r="B628" s="26"/>
      <c r="D628" s="18"/>
      <c r="E628" s="19"/>
      <c r="F628" s="19"/>
    </row>
    <row r="629">
      <c r="B629" s="26"/>
      <c r="D629" s="18"/>
      <c r="E629" s="19"/>
      <c r="F629" s="19"/>
    </row>
    <row r="630">
      <c r="B630" s="26"/>
      <c r="D630" s="18"/>
      <c r="E630" s="19"/>
      <c r="F630" s="19"/>
    </row>
    <row r="631">
      <c r="B631" s="26"/>
      <c r="D631" s="18"/>
      <c r="E631" s="19"/>
      <c r="F631" s="19"/>
    </row>
    <row r="632">
      <c r="B632" s="26"/>
      <c r="D632" s="18"/>
      <c r="E632" s="19"/>
      <c r="F632" s="19"/>
    </row>
    <row r="633">
      <c r="B633" s="26"/>
      <c r="D633" s="18"/>
      <c r="E633" s="19"/>
      <c r="F633" s="19"/>
    </row>
    <row r="634">
      <c r="B634" s="26"/>
      <c r="D634" s="18"/>
      <c r="E634" s="19"/>
      <c r="F634" s="19"/>
    </row>
    <row r="635">
      <c r="B635" s="26"/>
      <c r="D635" s="18"/>
      <c r="E635" s="19"/>
      <c r="F635" s="19"/>
    </row>
    <row r="636">
      <c r="B636" s="26"/>
      <c r="D636" s="18"/>
      <c r="E636" s="19"/>
      <c r="F636" s="19"/>
    </row>
    <row r="637">
      <c r="B637" s="26"/>
      <c r="D637" s="18"/>
      <c r="E637" s="19"/>
      <c r="F637" s="19"/>
    </row>
    <row r="638">
      <c r="B638" s="26"/>
      <c r="D638" s="18"/>
      <c r="E638" s="19"/>
      <c r="F638" s="19"/>
    </row>
    <row r="639">
      <c r="B639" s="26"/>
      <c r="D639" s="18"/>
      <c r="E639" s="19"/>
      <c r="F639" s="19"/>
    </row>
    <row r="640">
      <c r="B640" s="26"/>
      <c r="D640" s="18"/>
      <c r="E640" s="19"/>
      <c r="F640" s="19"/>
    </row>
    <row r="641">
      <c r="B641" s="26"/>
      <c r="D641" s="18"/>
      <c r="E641" s="19"/>
      <c r="F641" s="19"/>
    </row>
    <row r="642">
      <c r="B642" s="26"/>
      <c r="D642" s="18"/>
      <c r="E642" s="19"/>
      <c r="F642" s="19"/>
    </row>
    <row r="643">
      <c r="B643" s="26"/>
      <c r="D643" s="18"/>
      <c r="E643" s="19"/>
      <c r="F643" s="19"/>
    </row>
    <row r="644">
      <c r="B644" s="26"/>
      <c r="D644" s="18"/>
      <c r="E644" s="19"/>
      <c r="F644" s="19"/>
    </row>
    <row r="645">
      <c r="B645" s="26"/>
      <c r="D645" s="18"/>
      <c r="E645" s="19"/>
      <c r="F645" s="19"/>
    </row>
    <row r="646">
      <c r="B646" s="26"/>
      <c r="D646" s="18"/>
      <c r="E646" s="19"/>
      <c r="F646" s="19"/>
    </row>
    <row r="647">
      <c r="B647" s="26"/>
      <c r="D647" s="18"/>
      <c r="E647" s="19"/>
      <c r="F647" s="19"/>
    </row>
    <row r="648">
      <c r="B648" s="26"/>
      <c r="D648" s="18"/>
      <c r="E648" s="19"/>
      <c r="F648" s="19"/>
    </row>
    <row r="649">
      <c r="B649" s="26"/>
      <c r="D649" s="18"/>
      <c r="E649" s="19"/>
      <c r="F649" s="19"/>
    </row>
    <row r="650">
      <c r="B650" s="26"/>
      <c r="D650" s="18"/>
      <c r="E650" s="19"/>
      <c r="F650" s="19"/>
    </row>
    <row r="651">
      <c r="B651" s="26"/>
      <c r="D651" s="18"/>
      <c r="E651" s="19"/>
      <c r="F651" s="19"/>
    </row>
    <row r="652">
      <c r="B652" s="26"/>
      <c r="D652" s="18"/>
      <c r="E652" s="19"/>
      <c r="F652" s="19"/>
    </row>
    <row r="653">
      <c r="B653" s="26"/>
      <c r="D653" s="18"/>
      <c r="E653" s="19"/>
      <c r="F653" s="19"/>
    </row>
    <row r="654">
      <c r="B654" s="26"/>
      <c r="D654" s="18"/>
      <c r="E654" s="19"/>
      <c r="F654" s="19"/>
    </row>
    <row r="655">
      <c r="B655" s="26"/>
      <c r="D655" s="18"/>
      <c r="E655" s="19"/>
      <c r="F655" s="19"/>
    </row>
    <row r="656">
      <c r="B656" s="26"/>
      <c r="D656" s="18"/>
      <c r="E656" s="19"/>
      <c r="F656" s="19"/>
    </row>
    <row r="657">
      <c r="B657" s="26"/>
      <c r="D657" s="18"/>
      <c r="E657" s="19"/>
      <c r="F657" s="19"/>
    </row>
    <row r="658">
      <c r="B658" s="26"/>
      <c r="D658" s="18"/>
      <c r="E658" s="19"/>
      <c r="F658" s="19"/>
    </row>
    <row r="659">
      <c r="B659" s="26"/>
      <c r="D659" s="18"/>
      <c r="E659" s="19"/>
      <c r="F659" s="19"/>
    </row>
    <row r="660">
      <c r="B660" s="26"/>
      <c r="D660" s="18"/>
      <c r="E660" s="19"/>
      <c r="F660" s="19"/>
    </row>
    <row r="661">
      <c r="B661" s="26"/>
      <c r="D661" s="18"/>
      <c r="E661" s="19"/>
      <c r="F661" s="19"/>
    </row>
    <row r="662">
      <c r="B662" s="26"/>
      <c r="D662" s="18"/>
      <c r="E662" s="19"/>
      <c r="F662" s="19"/>
    </row>
    <row r="663">
      <c r="B663" s="26"/>
      <c r="D663" s="18"/>
      <c r="E663" s="19"/>
      <c r="F663" s="19"/>
    </row>
    <row r="664">
      <c r="B664" s="26"/>
      <c r="D664" s="18"/>
      <c r="E664" s="19"/>
      <c r="F664" s="19"/>
    </row>
    <row r="665">
      <c r="B665" s="26"/>
      <c r="D665" s="18"/>
      <c r="E665" s="19"/>
      <c r="F665" s="19"/>
    </row>
    <row r="666">
      <c r="B666" s="26"/>
      <c r="D666" s="18"/>
      <c r="E666" s="19"/>
      <c r="F666" s="19"/>
    </row>
    <row r="667">
      <c r="B667" s="26"/>
      <c r="D667" s="18"/>
      <c r="E667" s="19"/>
      <c r="F667" s="19"/>
    </row>
    <row r="668">
      <c r="B668" s="26"/>
      <c r="D668" s="18"/>
      <c r="E668" s="19"/>
      <c r="F668" s="19"/>
    </row>
    <row r="669">
      <c r="B669" s="26"/>
      <c r="D669" s="18"/>
      <c r="E669" s="19"/>
      <c r="F669" s="19"/>
    </row>
    <row r="670">
      <c r="B670" s="26"/>
      <c r="D670" s="18"/>
      <c r="E670" s="19"/>
      <c r="F670" s="19"/>
    </row>
    <row r="671">
      <c r="B671" s="26"/>
      <c r="D671" s="18"/>
      <c r="E671" s="19"/>
      <c r="F671" s="19"/>
    </row>
    <row r="672">
      <c r="B672" s="26"/>
      <c r="D672" s="18"/>
      <c r="E672" s="19"/>
      <c r="F672" s="19"/>
    </row>
    <row r="673">
      <c r="B673" s="26"/>
      <c r="D673" s="18"/>
      <c r="E673" s="19"/>
      <c r="F673" s="19"/>
    </row>
    <row r="674">
      <c r="B674" s="26"/>
      <c r="D674" s="18"/>
      <c r="E674" s="19"/>
      <c r="F674" s="19"/>
    </row>
    <row r="675">
      <c r="B675" s="26"/>
      <c r="D675" s="18"/>
      <c r="E675" s="19"/>
      <c r="F675" s="19"/>
    </row>
    <row r="676">
      <c r="B676" s="26"/>
      <c r="D676" s="18"/>
      <c r="E676" s="19"/>
      <c r="F676" s="19"/>
    </row>
    <row r="677">
      <c r="B677" s="26"/>
      <c r="D677" s="18"/>
      <c r="E677" s="19"/>
      <c r="F677" s="19"/>
    </row>
    <row r="678">
      <c r="B678" s="26"/>
      <c r="D678" s="18"/>
      <c r="E678" s="19"/>
      <c r="F678" s="19"/>
    </row>
    <row r="679">
      <c r="B679" s="26"/>
      <c r="D679" s="18"/>
      <c r="E679" s="19"/>
      <c r="F679" s="19"/>
    </row>
    <row r="680">
      <c r="B680" s="26"/>
      <c r="D680" s="18"/>
      <c r="E680" s="19"/>
      <c r="F680" s="19"/>
    </row>
    <row r="681">
      <c r="B681" s="26"/>
      <c r="D681" s="18"/>
      <c r="E681" s="19"/>
      <c r="F681" s="19"/>
    </row>
    <row r="682">
      <c r="B682" s="26"/>
      <c r="D682" s="18"/>
      <c r="E682" s="19"/>
      <c r="F682" s="19"/>
    </row>
    <row r="683">
      <c r="B683" s="26"/>
      <c r="D683" s="18"/>
      <c r="E683" s="19"/>
      <c r="F683" s="19"/>
    </row>
    <row r="684">
      <c r="B684" s="26"/>
      <c r="D684" s="18"/>
      <c r="E684" s="19"/>
      <c r="F684" s="19"/>
    </row>
    <row r="685">
      <c r="B685" s="26"/>
      <c r="D685" s="18"/>
      <c r="E685" s="19"/>
      <c r="F685" s="19"/>
    </row>
    <row r="686">
      <c r="B686" s="26"/>
      <c r="D686" s="18"/>
      <c r="E686" s="19"/>
      <c r="F686" s="19"/>
    </row>
    <row r="687">
      <c r="B687" s="26"/>
      <c r="D687" s="18"/>
      <c r="E687" s="19"/>
      <c r="F687" s="19"/>
    </row>
    <row r="688">
      <c r="B688" s="26"/>
      <c r="D688" s="18"/>
      <c r="E688" s="19"/>
      <c r="F688" s="19"/>
    </row>
    <row r="689">
      <c r="B689" s="26"/>
      <c r="D689" s="18"/>
      <c r="E689" s="19"/>
      <c r="F689" s="19"/>
    </row>
    <row r="690">
      <c r="B690" s="26"/>
      <c r="D690" s="18"/>
      <c r="E690" s="19"/>
      <c r="F690" s="19"/>
    </row>
    <row r="691">
      <c r="B691" s="26"/>
      <c r="D691" s="18"/>
      <c r="E691" s="19"/>
      <c r="F691" s="19"/>
    </row>
    <row r="692">
      <c r="B692" s="26"/>
      <c r="D692" s="18"/>
      <c r="E692" s="19"/>
      <c r="F692" s="19"/>
    </row>
    <row r="693">
      <c r="B693" s="26"/>
      <c r="D693" s="18"/>
      <c r="E693" s="19"/>
      <c r="F693" s="19"/>
    </row>
    <row r="694">
      <c r="B694" s="26"/>
      <c r="D694" s="18"/>
      <c r="E694" s="19"/>
      <c r="F694" s="19"/>
    </row>
    <row r="695">
      <c r="B695" s="26"/>
      <c r="D695" s="18"/>
      <c r="E695" s="19"/>
      <c r="F695" s="19"/>
    </row>
    <row r="696">
      <c r="B696" s="26"/>
      <c r="D696" s="18"/>
      <c r="E696" s="19"/>
      <c r="F696" s="19"/>
    </row>
    <row r="697">
      <c r="B697" s="26"/>
      <c r="D697" s="18"/>
      <c r="E697" s="19"/>
      <c r="F697" s="19"/>
    </row>
    <row r="698">
      <c r="B698" s="26"/>
      <c r="D698" s="18"/>
      <c r="E698" s="19"/>
      <c r="F698" s="19"/>
    </row>
    <row r="699">
      <c r="B699" s="26"/>
      <c r="D699" s="18"/>
      <c r="E699" s="19"/>
      <c r="F699" s="19"/>
    </row>
    <row r="700">
      <c r="B700" s="26"/>
      <c r="D700" s="18"/>
      <c r="E700" s="19"/>
      <c r="F700" s="19"/>
    </row>
    <row r="701">
      <c r="B701" s="26"/>
      <c r="D701" s="18"/>
      <c r="E701" s="19"/>
      <c r="F701" s="19"/>
    </row>
    <row r="702">
      <c r="B702" s="26"/>
      <c r="D702" s="18"/>
      <c r="E702" s="19"/>
      <c r="F702" s="19"/>
    </row>
    <row r="703">
      <c r="B703" s="26"/>
      <c r="D703" s="18"/>
      <c r="E703" s="19"/>
      <c r="F703" s="19"/>
    </row>
    <row r="704">
      <c r="B704" s="26"/>
      <c r="D704" s="18"/>
      <c r="E704" s="19"/>
      <c r="F704" s="19"/>
    </row>
    <row r="705">
      <c r="B705" s="26"/>
      <c r="D705" s="18"/>
      <c r="E705" s="19"/>
      <c r="F705" s="19"/>
    </row>
    <row r="706">
      <c r="B706" s="26"/>
      <c r="D706" s="18"/>
      <c r="E706" s="19"/>
      <c r="F706" s="19"/>
    </row>
    <row r="707">
      <c r="B707" s="26"/>
      <c r="D707" s="18"/>
      <c r="E707" s="19"/>
      <c r="F707" s="19"/>
    </row>
    <row r="708">
      <c r="B708" s="26"/>
      <c r="D708" s="18"/>
      <c r="E708" s="19"/>
      <c r="F708" s="19"/>
    </row>
    <row r="709">
      <c r="B709" s="26"/>
      <c r="D709" s="18"/>
      <c r="E709" s="19"/>
      <c r="F709" s="19"/>
    </row>
    <row r="710">
      <c r="B710" s="26"/>
      <c r="D710" s="18"/>
      <c r="E710" s="19"/>
      <c r="F710" s="19"/>
    </row>
    <row r="711">
      <c r="B711" s="26"/>
      <c r="D711" s="18"/>
      <c r="E711" s="19"/>
      <c r="F711" s="19"/>
    </row>
    <row r="712">
      <c r="B712" s="26"/>
      <c r="D712" s="18"/>
      <c r="E712" s="19"/>
      <c r="F712" s="19"/>
    </row>
    <row r="713">
      <c r="B713" s="26"/>
      <c r="D713" s="18"/>
      <c r="E713" s="19"/>
      <c r="F713" s="19"/>
    </row>
    <row r="714">
      <c r="B714" s="26"/>
      <c r="D714" s="18"/>
      <c r="E714" s="19"/>
      <c r="F714" s="19"/>
    </row>
    <row r="715">
      <c r="B715" s="26"/>
      <c r="D715" s="18"/>
      <c r="E715" s="19"/>
      <c r="F715" s="19"/>
    </row>
    <row r="716">
      <c r="B716" s="26"/>
      <c r="D716" s="18"/>
      <c r="E716" s="19"/>
      <c r="F716" s="19"/>
    </row>
    <row r="717">
      <c r="B717" s="26"/>
      <c r="D717" s="18"/>
      <c r="E717" s="19"/>
      <c r="F717" s="19"/>
    </row>
    <row r="718">
      <c r="B718" s="26"/>
      <c r="D718" s="18"/>
      <c r="E718" s="19"/>
      <c r="F718" s="19"/>
    </row>
    <row r="719">
      <c r="B719" s="26"/>
      <c r="D719" s="18"/>
      <c r="E719" s="19"/>
      <c r="F719" s="19"/>
    </row>
    <row r="720">
      <c r="B720" s="26"/>
      <c r="D720" s="18"/>
      <c r="E720" s="19"/>
      <c r="F720" s="19"/>
    </row>
    <row r="721">
      <c r="B721" s="26"/>
      <c r="D721" s="18"/>
      <c r="E721" s="19"/>
      <c r="F721" s="19"/>
    </row>
    <row r="722">
      <c r="B722" s="26"/>
      <c r="D722" s="18"/>
      <c r="E722" s="19"/>
      <c r="F722" s="19"/>
    </row>
    <row r="723">
      <c r="B723" s="26"/>
      <c r="D723" s="18"/>
      <c r="E723" s="19"/>
      <c r="F723" s="19"/>
    </row>
    <row r="724">
      <c r="B724" s="26"/>
      <c r="D724" s="18"/>
      <c r="E724" s="19"/>
      <c r="F724" s="19"/>
    </row>
    <row r="725">
      <c r="B725" s="26"/>
      <c r="D725" s="18"/>
      <c r="E725" s="19"/>
      <c r="F725" s="19"/>
    </row>
    <row r="726">
      <c r="B726" s="26"/>
      <c r="D726" s="18"/>
      <c r="E726" s="19"/>
      <c r="F726" s="19"/>
    </row>
    <row r="727">
      <c r="B727" s="26"/>
      <c r="D727" s="18"/>
      <c r="E727" s="19"/>
      <c r="F727" s="19"/>
    </row>
    <row r="728">
      <c r="B728" s="26"/>
      <c r="D728" s="18"/>
      <c r="E728" s="19"/>
      <c r="F728" s="19"/>
    </row>
    <row r="729">
      <c r="B729" s="26"/>
      <c r="D729" s="18"/>
      <c r="E729" s="19"/>
      <c r="F729" s="19"/>
    </row>
    <row r="730">
      <c r="B730" s="26"/>
      <c r="D730" s="18"/>
      <c r="E730" s="19"/>
      <c r="F730" s="19"/>
    </row>
    <row r="731">
      <c r="B731" s="26"/>
      <c r="D731" s="18"/>
      <c r="E731" s="19"/>
      <c r="F731" s="19"/>
    </row>
    <row r="732">
      <c r="B732" s="26"/>
      <c r="D732" s="18"/>
      <c r="E732" s="19"/>
      <c r="F732" s="19"/>
    </row>
    <row r="733">
      <c r="B733" s="26"/>
      <c r="D733" s="18"/>
      <c r="E733" s="19"/>
      <c r="F733" s="19"/>
    </row>
    <row r="734">
      <c r="B734" s="26"/>
      <c r="D734" s="18"/>
      <c r="E734" s="19"/>
      <c r="F734" s="19"/>
    </row>
    <row r="735">
      <c r="B735" s="26"/>
      <c r="D735" s="18"/>
      <c r="E735" s="19"/>
      <c r="F735" s="19"/>
    </row>
    <row r="736">
      <c r="B736" s="26"/>
      <c r="D736" s="18"/>
      <c r="E736" s="19"/>
      <c r="F736" s="19"/>
    </row>
    <row r="737">
      <c r="B737" s="26"/>
      <c r="D737" s="18"/>
      <c r="E737" s="19"/>
      <c r="F737" s="19"/>
    </row>
    <row r="738">
      <c r="B738" s="26"/>
      <c r="D738" s="18"/>
      <c r="E738" s="19"/>
      <c r="F738" s="19"/>
    </row>
    <row r="739">
      <c r="B739" s="26"/>
      <c r="D739" s="18"/>
      <c r="E739" s="19"/>
      <c r="F739" s="19"/>
    </row>
    <row r="740">
      <c r="B740" s="26"/>
      <c r="D740" s="18"/>
      <c r="E740" s="19"/>
      <c r="F740" s="19"/>
    </row>
    <row r="741">
      <c r="B741" s="26"/>
      <c r="D741" s="18"/>
      <c r="E741" s="19"/>
      <c r="F741" s="19"/>
    </row>
    <row r="742">
      <c r="B742" s="26"/>
      <c r="D742" s="18"/>
      <c r="E742" s="19"/>
      <c r="F742" s="19"/>
    </row>
    <row r="743">
      <c r="B743" s="26"/>
      <c r="D743" s="18"/>
      <c r="E743" s="19"/>
      <c r="F743" s="19"/>
    </row>
    <row r="744">
      <c r="B744" s="26"/>
      <c r="D744" s="18"/>
      <c r="E744" s="19"/>
      <c r="F744" s="19"/>
    </row>
    <row r="745">
      <c r="B745" s="26"/>
      <c r="D745" s="18"/>
      <c r="E745" s="19"/>
      <c r="F745" s="19"/>
    </row>
    <row r="746">
      <c r="B746" s="26"/>
      <c r="D746" s="18"/>
      <c r="E746" s="19"/>
      <c r="F746" s="19"/>
    </row>
    <row r="747">
      <c r="B747" s="26"/>
      <c r="D747" s="18"/>
      <c r="E747" s="19"/>
      <c r="F747" s="19"/>
    </row>
    <row r="748">
      <c r="B748" s="26"/>
      <c r="D748" s="18"/>
      <c r="E748" s="19"/>
      <c r="F748" s="19"/>
    </row>
    <row r="749">
      <c r="B749" s="26"/>
      <c r="D749" s="18"/>
      <c r="E749" s="19"/>
      <c r="F749" s="19"/>
    </row>
    <row r="750">
      <c r="B750" s="26"/>
      <c r="D750" s="18"/>
      <c r="E750" s="19"/>
      <c r="F750" s="19"/>
    </row>
    <row r="751">
      <c r="B751" s="26"/>
      <c r="D751" s="18"/>
      <c r="E751" s="19"/>
      <c r="F751" s="19"/>
    </row>
    <row r="752">
      <c r="B752" s="26"/>
      <c r="D752" s="18"/>
      <c r="E752" s="19"/>
      <c r="F752" s="19"/>
    </row>
    <row r="753">
      <c r="B753" s="26"/>
      <c r="D753" s="18"/>
      <c r="E753" s="19"/>
      <c r="F753" s="19"/>
    </row>
    <row r="754">
      <c r="B754" s="26"/>
      <c r="D754" s="18"/>
      <c r="E754" s="19"/>
      <c r="F754" s="19"/>
    </row>
    <row r="755">
      <c r="B755" s="26"/>
      <c r="D755" s="18"/>
      <c r="E755" s="19"/>
      <c r="F755" s="19"/>
    </row>
    <row r="756">
      <c r="B756" s="26"/>
      <c r="D756" s="18"/>
      <c r="E756" s="19"/>
      <c r="F756" s="19"/>
    </row>
    <row r="757">
      <c r="B757" s="26"/>
      <c r="D757" s="18"/>
      <c r="E757" s="19"/>
      <c r="F757" s="19"/>
    </row>
    <row r="758">
      <c r="B758" s="26"/>
      <c r="D758" s="18"/>
      <c r="E758" s="19"/>
      <c r="F758" s="19"/>
    </row>
    <row r="759">
      <c r="B759" s="26"/>
      <c r="D759" s="18"/>
      <c r="E759" s="19"/>
      <c r="F759" s="19"/>
    </row>
    <row r="760">
      <c r="B760" s="26"/>
      <c r="D760" s="18"/>
      <c r="E760" s="19"/>
      <c r="F760" s="19"/>
    </row>
    <row r="761">
      <c r="B761" s="26"/>
      <c r="D761" s="18"/>
      <c r="E761" s="19"/>
      <c r="F761" s="19"/>
    </row>
    <row r="762">
      <c r="B762" s="26"/>
      <c r="D762" s="18"/>
      <c r="E762" s="19"/>
      <c r="F762" s="19"/>
    </row>
    <row r="763">
      <c r="B763" s="26"/>
      <c r="D763" s="18"/>
      <c r="E763" s="19"/>
      <c r="F763" s="19"/>
    </row>
    <row r="764">
      <c r="B764" s="26"/>
      <c r="D764" s="18"/>
      <c r="E764" s="19"/>
      <c r="F764" s="19"/>
    </row>
    <row r="765">
      <c r="B765" s="26"/>
      <c r="D765" s="18"/>
      <c r="E765" s="19"/>
      <c r="F765" s="19"/>
    </row>
    <row r="766">
      <c r="B766" s="26"/>
      <c r="D766" s="18"/>
      <c r="E766" s="19"/>
      <c r="F766" s="19"/>
    </row>
    <row r="767">
      <c r="B767" s="26"/>
      <c r="D767" s="18"/>
      <c r="E767" s="19"/>
      <c r="F767" s="19"/>
    </row>
    <row r="768">
      <c r="B768" s="26"/>
      <c r="D768" s="18"/>
      <c r="E768" s="19"/>
      <c r="F768" s="19"/>
    </row>
    <row r="769">
      <c r="B769" s="26"/>
      <c r="D769" s="18"/>
      <c r="E769" s="19"/>
      <c r="F769" s="19"/>
    </row>
    <row r="770">
      <c r="B770" s="26"/>
      <c r="D770" s="18"/>
      <c r="E770" s="19"/>
      <c r="F770" s="19"/>
    </row>
    <row r="771">
      <c r="B771" s="26"/>
      <c r="D771" s="18"/>
      <c r="E771" s="19"/>
      <c r="F771" s="19"/>
    </row>
    <row r="772">
      <c r="B772" s="26"/>
      <c r="D772" s="18"/>
      <c r="E772" s="19"/>
      <c r="F772" s="19"/>
    </row>
    <row r="773">
      <c r="B773" s="26"/>
      <c r="D773" s="18"/>
      <c r="E773" s="19"/>
      <c r="F773" s="19"/>
    </row>
    <row r="774">
      <c r="B774" s="26"/>
      <c r="D774" s="18"/>
      <c r="E774" s="19"/>
      <c r="F774" s="19"/>
    </row>
    <row r="775">
      <c r="B775" s="26"/>
      <c r="D775" s="18"/>
      <c r="E775" s="19"/>
      <c r="F775" s="19"/>
    </row>
    <row r="776">
      <c r="B776" s="26"/>
      <c r="D776" s="18"/>
      <c r="E776" s="19"/>
      <c r="F776" s="19"/>
    </row>
    <row r="777">
      <c r="B777" s="26"/>
      <c r="D777" s="18"/>
      <c r="E777" s="19"/>
      <c r="F777" s="19"/>
    </row>
    <row r="778">
      <c r="B778" s="26"/>
      <c r="D778" s="18"/>
      <c r="E778" s="19"/>
      <c r="F778" s="19"/>
    </row>
    <row r="779">
      <c r="B779" s="26"/>
      <c r="D779" s="18"/>
      <c r="E779" s="19"/>
      <c r="F779" s="19"/>
    </row>
    <row r="780">
      <c r="B780" s="26"/>
      <c r="D780" s="18"/>
      <c r="E780" s="19"/>
      <c r="F780" s="19"/>
    </row>
    <row r="781">
      <c r="B781" s="26"/>
      <c r="D781" s="18"/>
      <c r="E781" s="19"/>
      <c r="F781" s="19"/>
    </row>
    <row r="782">
      <c r="B782" s="26"/>
      <c r="D782" s="18"/>
      <c r="E782" s="19"/>
      <c r="F782" s="19"/>
    </row>
    <row r="783">
      <c r="B783" s="26"/>
      <c r="D783" s="18"/>
      <c r="E783" s="19"/>
      <c r="F783" s="19"/>
    </row>
    <row r="784">
      <c r="B784" s="26"/>
      <c r="D784" s="18"/>
      <c r="E784" s="19"/>
      <c r="F784" s="19"/>
    </row>
    <row r="785">
      <c r="B785" s="26"/>
      <c r="D785" s="18"/>
      <c r="E785" s="19"/>
      <c r="F785" s="19"/>
    </row>
    <row r="786">
      <c r="B786" s="26"/>
      <c r="D786" s="18"/>
      <c r="E786" s="19"/>
      <c r="F786" s="19"/>
    </row>
    <row r="787">
      <c r="B787" s="26"/>
      <c r="D787" s="18"/>
      <c r="E787" s="19"/>
      <c r="F787" s="19"/>
    </row>
    <row r="788">
      <c r="B788" s="26"/>
      <c r="D788" s="18"/>
      <c r="E788" s="19"/>
      <c r="F788" s="19"/>
    </row>
    <row r="789">
      <c r="B789" s="26"/>
      <c r="D789" s="18"/>
      <c r="E789" s="19"/>
      <c r="F789" s="19"/>
    </row>
    <row r="790">
      <c r="B790" s="26"/>
      <c r="D790" s="18"/>
      <c r="E790" s="19"/>
      <c r="F790" s="19"/>
    </row>
    <row r="791">
      <c r="B791" s="26"/>
      <c r="D791" s="18"/>
      <c r="E791" s="19"/>
      <c r="F791" s="19"/>
    </row>
    <row r="792">
      <c r="B792" s="26"/>
      <c r="D792" s="18"/>
      <c r="E792" s="19"/>
      <c r="F792" s="19"/>
    </row>
    <row r="793">
      <c r="B793" s="26"/>
      <c r="D793" s="18"/>
      <c r="E793" s="19"/>
      <c r="F793" s="19"/>
    </row>
    <row r="794">
      <c r="B794" s="26"/>
      <c r="D794" s="18"/>
      <c r="E794" s="19"/>
      <c r="F794" s="19"/>
    </row>
    <row r="795">
      <c r="B795" s="26"/>
      <c r="D795" s="18"/>
      <c r="E795" s="19"/>
      <c r="F795" s="19"/>
    </row>
    <row r="796">
      <c r="B796" s="26"/>
      <c r="D796" s="18"/>
      <c r="E796" s="19"/>
      <c r="F796" s="19"/>
    </row>
    <row r="797">
      <c r="B797" s="26"/>
      <c r="D797" s="18"/>
      <c r="E797" s="19"/>
      <c r="F797" s="19"/>
    </row>
    <row r="798">
      <c r="B798" s="26"/>
      <c r="D798" s="18"/>
      <c r="E798" s="19"/>
      <c r="F798" s="19"/>
    </row>
    <row r="799">
      <c r="B799" s="26"/>
      <c r="D799" s="18"/>
      <c r="E799" s="19"/>
      <c r="F799" s="19"/>
    </row>
    <row r="800">
      <c r="B800" s="26"/>
      <c r="D800" s="18"/>
      <c r="E800" s="19"/>
      <c r="F800" s="19"/>
    </row>
    <row r="801">
      <c r="B801" s="26"/>
      <c r="D801" s="18"/>
      <c r="E801" s="19"/>
      <c r="F801" s="19"/>
    </row>
    <row r="802">
      <c r="B802" s="26"/>
      <c r="D802" s="18"/>
      <c r="E802" s="19"/>
      <c r="F802" s="19"/>
    </row>
    <row r="803">
      <c r="B803" s="26"/>
      <c r="D803" s="18"/>
      <c r="E803" s="19"/>
      <c r="F803" s="19"/>
    </row>
    <row r="804">
      <c r="B804" s="26"/>
      <c r="D804" s="18"/>
      <c r="E804" s="19"/>
      <c r="F804" s="19"/>
    </row>
    <row r="805">
      <c r="B805" s="26"/>
      <c r="D805" s="18"/>
      <c r="E805" s="19"/>
      <c r="F805" s="19"/>
    </row>
    <row r="806">
      <c r="B806" s="26"/>
      <c r="D806" s="18"/>
      <c r="E806" s="19"/>
      <c r="F806" s="19"/>
    </row>
    <row r="807">
      <c r="B807" s="26"/>
      <c r="D807" s="18"/>
      <c r="E807" s="19"/>
      <c r="F807" s="19"/>
    </row>
    <row r="808">
      <c r="B808" s="26"/>
      <c r="D808" s="18"/>
      <c r="E808" s="19"/>
      <c r="F808" s="19"/>
    </row>
    <row r="809">
      <c r="B809" s="26"/>
      <c r="D809" s="18"/>
      <c r="E809" s="19"/>
      <c r="F809" s="19"/>
    </row>
    <row r="810">
      <c r="B810" s="26"/>
      <c r="D810" s="18"/>
      <c r="E810" s="19"/>
      <c r="F810" s="19"/>
    </row>
    <row r="811">
      <c r="B811" s="26"/>
      <c r="D811" s="18"/>
      <c r="E811" s="19"/>
      <c r="F811" s="19"/>
    </row>
    <row r="812">
      <c r="B812" s="26"/>
      <c r="D812" s="18"/>
      <c r="E812" s="19"/>
      <c r="F812" s="19"/>
    </row>
    <row r="813">
      <c r="B813" s="26"/>
      <c r="D813" s="18"/>
      <c r="E813" s="19"/>
      <c r="F813" s="19"/>
    </row>
    <row r="814">
      <c r="B814" s="26"/>
      <c r="D814" s="18"/>
      <c r="E814" s="19"/>
      <c r="F814" s="19"/>
    </row>
    <row r="815">
      <c r="B815" s="26"/>
      <c r="D815" s="18"/>
      <c r="E815" s="19"/>
      <c r="F815" s="19"/>
    </row>
    <row r="816">
      <c r="B816" s="26"/>
      <c r="D816" s="18"/>
      <c r="E816" s="19"/>
      <c r="F816" s="19"/>
    </row>
    <row r="817">
      <c r="B817" s="26"/>
      <c r="D817" s="18"/>
      <c r="E817" s="19"/>
      <c r="F817" s="19"/>
    </row>
    <row r="818">
      <c r="B818" s="26"/>
      <c r="D818" s="18"/>
      <c r="E818" s="19"/>
      <c r="F818" s="19"/>
    </row>
    <row r="819">
      <c r="B819" s="26"/>
      <c r="D819" s="18"/>
      <c r="E819" s="19"/>
      <c r="F819" s="19"/>
    </row>
    <row r="820">
      <c r="B820" s="26"/>
      <c r="D820" s="18"/>
      <c r="E820" s="19"/>
      <c r="F820" s="19"/>
    </row>
    <row r="821">
      <c r="B821" s="26"/>
      <c r="D821" s="18"/>
      <c r="E821" s="19"/>
      <c r="F821" s="19"/>
    </row>
    <row r="822">
      <c r="B822" s="26"/>
      <c r="D822" s="18"/>
      <c r="E822" s="19"/>
      <c r="F822" s="19"/>
    </row>
    <row r="823">
      <c r="B823" s="26"/>
      <c r="D823" s="18"/>
      <c r="E823" s="19"/>
      <c r="F823" s="19"/>
    </row>
    <row r="824">
      <c r="B824" s="26"/>
      <c r="D824" s="18"/>
      <c r="E824" s="19"/>
      <c r="F824" s="19"/>
    </row>
    <row r="825">
      <c r="B825" s="26"/>
      <c r="D825" s="18"/>
      <c r="E825" s="19"/>
      <c r="F825" s="19"/>
    </row>
    <row r="826">
      <c r="B826" s="26"/>
      <c r="D826" s="18"/>
      <c r="E826" s="19"/>
      <c r="F826" s="19"/>
    </row>
    <row r="827">
      <c r="B827" s="26"/>
      <c r="D827" s="18"/>
      <c r="E827" s="19"/>
      <c r="F827" s="19"/>
    </row>
    <row r="828">
      <c r="B828" s="26"/>
      <c r="D828" s="18"/>
      <c r="E828" s="19"/>
      <c r="F828" s="19"/>
    </row>
    <row r="829">
      <c r="B829" s="26"/>
      <c r="D829" s="18"/>
      <c r="E829" s="19"/>
      <c r="F829" s="19"/>
    </row>
    <row r="830">
      <c r="B830" s="26"/>
      <c r="D830" s="18"/>
      <c r="E830" s="19"/>
      <c r="F830" s="19"/>
    </row>
    <row r="831">
      <c r="B831" s="26"/>
      <c r="D831" s="18"/>
      <c r="E831" s="19"/>
      <c r="F831" s="19"/>
    </row>
    <row r="832">
      <c r="B832" s="26"/>
      <c r="D832" s="18"/>
      <c r="E832" s="19"/>
      <c r="F832" s="19"/>
    </row>
    <row r="833">
      <c r="B833" s="26"/>
      <c r="D833" s="18"/>
      <c r="E833" s="19"/>
      <c r="F833" s="19"/>
    </row>
    <row r="834">
      <c r="B834" s="26"/>
      <c r="D834" s="18"/>
      <c r="E834" s="19"/>
      <c r="F834" s="19"/>
    </row>
    <row r="835">
      <c r="B835" s="26"/>
      <c r="D835" s="18"/>
      <c r="E835" s="19"/>
      <c r="F835" s="19"/>
    </row>
    <row r="836">
      <c r="B836" s="26"/>
      <c r="D836" s="18"/>
      <c r="E836" s="19"/>
      <c r="F836" s="19"/>
    </row>
    <row r="837">
      <c r="B837" s="26"/>
      <c r="D837" s="18"/>
      <c r="E837" s="19"/>
      <c r="F837" s="19"/>
    </row>
    <row r="838">
      <c r="B838" s="26"/>
      <c r="D838" s="18"/>
      <c r="E838" s="19"/>
      <c r="F838" s="19"/>
    </row>
    <row r="839">
      <c r="B839" s="26"/>
      <c r="D839" s="18"/>
      <c r="E839" s="19"/>
      <c r="F839" s="19"/>
    </row>
    <row r="840">
      <c r="B840" s="26"/>
      <c r="D840" s="18"/>
      <c r="E840" s="19"/>
      <c r="F840" s="19"/>
    </row>
    <row r="841">
      <c r="B841" s="26"/>
      <c r="D841" s="18"/>
      <c r="E841" s="19"/>
      <c r="F841" s="19"/>
    </row>
    <row r="842">
      <c r="B842" s="26"/>
      <c r="D842" s="18"/>
      <c r="E842" s="19"/>
      <c r="F842" s="19"/>
    </row>
    <row r="843">
      <c r="B843" s="26"/>
      <c r="D843" s="18"/>
      <c r="E843" s="19"/>
      <c r="F843" s="19"/>
    </row>
    <row r="844">
      <c r="B844" s="26"/>
      <c r="D844" s="18"/>
      <c r="E844" s="19"/>
      <c r="F844" s="19"/>
    </row>
    <row r="845">
      <c r="B845" s="26"/>
      <c r="D845" s="18"/>
      <c r="E845" s="19"/>
      <c r="F845" s="19"/>
    </row>
    <row r="846">
      <c r="B846" s="26"/>
      <c r="D846" s="18"/>
      <c r="E846" s="19"/>
      <c r="F846" s="19"/>
    </row>
    <row r="847">
      <c r="B847" s="26"/>
      <c r="D847" s="18"/>
      <c r="E847" s="19"/>
      <c r="F847" s="19"/>
    </row>
    <row r="848">
      <c r="B848" s="26"/>
      <c r="D848" s="18"/>
      <c r="E848" s="19"/>
      <c r="F848" s="19"/>
    </row>
    <row r="849">
      <c r="B849" s="26"/>
      <c r="D849" s="18"/>
      <c r="E849" s="19"/>
      <c r="F849" s="19"/>
    </row>
    <row r="850">
      <c r="B850" s="26"/>
      <c r="D850" s="18"/>
      <c r="E850" s="19"/>
      <c r="F850" s="19"/>
    </row>
    <row r="851">
      <c r="B851" s="26"/>
      <c r="D851" s="18"/>
      <c r="E851" s="19"/>
      <c r="F851" s="19"/>
    </row>
    <row r="852">
      <c r="B852" s="26"/>
      <c r="D852" s="18"/>
      <c r="E852" s="19"/>
      <c r="F852" s="19"/>
    </row>
    <row r="853">
      <c r="B853" s="26"/>
      <c r="D853" s="18"/>
      <c r="E853" s="19"/>
      <c r="F853" s="19"/>
    </row>
    <row r="854">
      <c r="B854" s="26"/>
      <c r="D854" s="18"/>
      <c r="E854" s="19"/>
      <c r="F854" s="19"/>
    </row>
    <row r="855">
      <c r="B855" s="26"/>
      <c r="D855" s="18"/>
      <c r="E855" s="19"/>
      <c r="F855" s="19"/>
    </row>
    <row r="856">
      <c r="B856" s="26"/>
      <c r="D856" s="18"/>
      <c r="E856" s="19"/>
      <c r="F856" s="19"/>
    </row>
    <row r="857">
      <c r="B857" s="26"/>
      <c r="D857" s="18"/>
      <c r="E857" s="19"/>
      <c r="F857" s="19"/>
    </row>
    <row r="858">
      <c r="B858" s="26"/>
      <c r="D858" s="18"/>
      <c r="E858" s="19"/>
      <c r="F858" s="19"/>
    </row>
    <row r="859">
      <c r="B859" s="26"/>
      <c r="D859" s="18"/>
      <c r="E859" s="19"/>
      <c r="F859" s="19"/>
    </row>
    <row r="860">
      <c r="B860" s="26"/>
      <c r="D860" s="18"/>
      <c r="E860" s="19"/>
      <c r="F860" s="19"/>
    </row>
    <row r="861">
      <c r="B861" s="26"/>
      <c r="D861" s="18"/>
      <c r="E861" s="19"/>
      <c r="F861" s="19"/>
    </row>
    <row r="862">
      <c r="B862" s="26"/>
      <c r="D862" s="18"/>
      <c r="E862" s="19"/>
      <c r="F862" s="19"/>
    </row>
    <row r="863">
      <c r="B863" s="26"/>
      <c r="D863" s="18"/>
      <c r="E863" s="19"/>
      <c r="F863" s="19"/>
    </row>
    <row r="864">
      <c r="B864" s="26"/>
      <c r="D864" s="18"/>
      <c r="E864" s="19"/>
      <c r="F864" s="19"/>
    </row>
    <row r="865">
      <c r="B865" s="26"/>
      <c r="D865" s="18"/>
      <c r="E865" s="19"/>
      <c r="F865" s="19"/>
    </row>
    <row r="866">
      <c r="B866" s="26"/>
      <c r="D866" s="18"/>
      <c r="E866" s="19"/>
      <c r="F866" s="19"/>
    </row>
    <row r="867">
      <c r="B867" s="26"/>
      <c r="D867" s="18"/>
      <c r="E867" s="19"/>
      <c r="F867" s="19"/>
    </row>
    <row r="868">
      <c r="B868" s="26"/>
      <c r="D868" s="18"/>
      <c r="E868" s="19"/>
      <c r="F868" s="19"/>
    </row>
    <row r="869">
      <c r="B869" s="26"/>
      <c r="D869" s="18"/>
      <c r="E869" s="19"/>
      <c r="F869" s="19"/>
    </row>
    <row r="870">
      <c r="B870" s="26"/>
      <c r="D870" s="18"/>
      <c r="E870" s="19"/>
      <c r="F870" s="19"/>
    </row>
    <row r="871">
      <c r="B871" s="26"/>
      <c r="D871" s="18"/>
      <c r="E871" s="19"/>
      <c r="F871" s="19"/>
    </row>
    <row r="872">
      <c r="B872" s="26"/>
      <c r="D872" s="18"/>
      <c r="E872" s="19"/>
      <c r="F872" s="19"/>
    </row>
    <row r="873">
      <c r="B873" s="26"/>
      <c r="D873" s="18"/>
      <c r="E873" s="19"/>
      <c r="F873" s="19"/>
    </row>
    <row r="874">
      <c r="B874" s="26"/>
      <c r="D874" s="18"/>
      <c r="E874" s="19"/>
      <c r="F874" s="19"/>
    </row>
    <row r="875">
      <c r="B875" s="26"/>
      <c r="D875" s="18"/>
      <c r="E875" s="19"/>
      <c r="F875" s="19"/>
    </row>
    <row r="876">
      <c r="B876" s="26"/>
      <c r="D876" s="18"/>
      <c r="E876" s="19"/>
      <c r="F876" s="19"/>
    </row>
    <row r="877">
      <c r="B877" s="26"/>
      <c r="D877" s="18"/>
      <c r="E877" s="19"/>
      <c r="F877" s="19"/>
    </row>
    <row r="878">
      <c r="B878" s="26"/>
      <c r="D878" s="18"/>
      <c r="E878" s="19"/>
      <c r="F878" s="19"/>
    </row>
    <row r="879">
      <c r="B879" s="26"/>
      <c r="D879" s="18"/>
      <c r="E879" s="19"/>
      <c r="F879" s="19"/>
    </row>
    <row r="880">
      <c r="B880" s="26"/>
      <c r="D880" s="18"/>
      <c r="E880" s="19"/>
      <c r="F880" s="19"/>
    </row>
    <row r="881">
      <c r="B881" s="26"/>
      <c r="D881" s="18"/>
      <c r="E881" s="19"/>
      <c r="F881" s="19"/>
    </row>
    <row r="882">
      <c r="B882" s="26"/>
      <c r="D882" s="18"/>
      <c r="E882" s="19"/>
      <c r="F882" s="19"/>
    </row>
    <row r="883">
      <c r="B883" s="26"/>
      <c r="D883" s="18"/>
      <c r="E883" s="19"/>
      <c r="F883" s="19"/>
    </row>
    <row r="884">
      <c r="B884" s="26"/>
      <c r="D884" s="18"/>
      <c r="E884" s="19"/>
      <c r="F884" s="19"/>
    </row>
    <row r="885">
      <c r="B885" s="26"/>
      <c r="D885" s="18"/>
      <c r="E885" s="19"/>
      <c r="F885" s="19"/>
    </row>
    <row r="886">
      <c r="B886" s="26"/>
      <c r="D886" s="18"/>
      <c r="E886" s="19"/>
      <c r="F886" s="19"/>
    </row>
    <row r="887">
      <c r="B887" s="26"/>
      <c r="D887" s="18"/>
      <c r="E887" s="19"/>
      <c r="F887" s="19"/>
    </row>
    <row r="888">
      <c r="B888" s="26"/>
      <c r="D888" s="18"/>
      <c r="E888" s="19"/>
      <c r="F888" s="19"/>
    </row>
    <row r="889">
      <c r="B889" s="26"/>
      <c r="D889" s="18"/>
      <c r="E889" s="19"/>
      <c r="F889" s="19"/>
    </row>
    <row r="890">
      <c r="B890" s="26"/>
      <c r="D890" s="18"/>
      <c r="E890" s="19"/>
      <c r="F890" s="19"/>
    </row>
    <row r="891">
      <c r="B891" s="26"/>
      <c r="D891" s="18"/>
      <c r="E891" s="19"/>
      <c r="F891" s="19"/>
    </row>
    <row r="892">
      <c r="B892" s="26"/>
      <c r="D892" s="18"/>
      <c r="E892" s="19"/>
      <c r="F892" s="19"/>
    </row>
    <row r="893">
      <c r="B893" s="26"/>
      <c r="D893" s="18"/>
      <c r="E893" s="19"/>
      <c r="F893" s="19"/>
    </row>
    <row r="894">
      <c r="B894" s="26"/>
      <c r="D894" s="18"/>
      <c r="E894" s="19"/>
      <c r="F894" s="19"/>
    </row>
    <row r="895">
      <c r="B895" s="26"/>
      <c r="D895" s="18"/>
      <c r="E895" s="19"/>
      <c r="F895" s="19"/>
    </row>
    <row r="896">
      <c r="B896" s="26"/>
      <c r="D896" s="18"/>
      <c r="E896" s="19"/>
      <c r="F896" s="19"/>
    </row>
    <row r="897">
      <c r="B897" s="26"/>
      <c r="D897" s="18"/>
      <c r="E897" s="19"/>
      <c r="F897" s="19"/>
    </row>
    <row r="898">
      <c r="B898" s="26"/>
      <c r="D898" s="18"/>
      <c r="E898" s="19"/>
      <c r="F898" s="19"/>
    </row>
    <row r="899">
      <c r="B899" s="26"/>
      <c r="D899" s="18"/>
      <c r="E899" s="19"/>
      <c r="F899" s="19"/>
    </row>
    <row r="900">
      <c r="B900" s="26"/>
      <c r="D900" s="18"/>
      <c r="E900" s="19"/>
      <c r="F900" s="19"/>
    </row>
    <row r="901">
      <c r="B901" s="26"/>
      <c r="D901" s="18"/>
      <c r="E901" s="19"/>
      <c r="F901" s="19"/>
    </row>
    <row r="902">
      <c r="B902" s="26"/>
      <c r="D902" s="18"/>
      <c r="E902" s="19"/>
      <c r="F902" s="19"/>
    </row>
    <row r="903">
      <c r="B903" s="26"/>
      <c r="D903" s="18"/>
      <c r="E903" s="19"/>
      <c r="F903" s="19"/>
    </row>
    <row r="904">
      <c r="B904" s="26"/>
      <c r="D904" s="18"/>
      <c r="E904" s="19"/>
      <c r="F904" s="19"/>
    </row>
    <row r="905">
      <c r="B905" s="26"/>
      <c r="D905" s="18"/>
      <c r="E905" s="19"/>
      <c r="F905" s="19"/>
    </row>
    <row r="906">
      <c r="B906" s="26"/>
      <c r="D906" s="18"/>
      <c r="E906" s="19"/>
      <c r="F906" s="19"/>
    </row>
    <row r="907">
      <c r="B907" s="26"/>
      <c r="D907" s="18"/>
      <c r="E907" s="19"/>
      <c r="F907" s="19"/>
    </row>
    <row r="908">
      <c r="B908" s="26"/>
      <c r="D908" s="18"/>
      <c r="E908" s="19"/>
      <c r="F908" s="19"/>
    </row>
    <row r="909">
      <c r="B909" s="26"/>
      <c r="D909" s="18"/>
      <c r="E909" s="19"/>
      <c r="F909" s="19"/>
    </row>
    <row r="910">
      <c r="B910" s="26"/>
      <c r="D910" s="18"/>
      <c r="E910" s="19"/>
      <c r="F910" s="19"/>
    </row>
    <row r="911">
      <c r="B911" s="26"/>
      <c r="D911" s="18"/>
      <c r="E911" s="19"/>
      <c r="F911" s="19"/>
    </row>
    <row r="912">
      <c r="B912" s="26"/>
      <c r="D912" s="18"/>
      <c r="E912" s="19"/>
      <c r="F912" s="19"/>
    </row>
    <row r="913">
      <c r="B913" s="26"/>
      <c r="D913" s="18"/>
      <c r="E913" s="19"/>
      <c r="F913" s="19"/>
    </row>
    <row r="914">
      <c r="B914" s="26"/>
      <c r="D914" s="18"/>
      <c r="E914" s="19"/>
      <c r="F914" s="19"/>
    </row>
    <row r="915">
      <c r="B915" s="26"/>
      <c r="D915" s="18"/>
      <c r="E915" s="19"/>
      <c r="F915" s="19"/>
    </row>
    <row r="916">
      <c r="B916" s="26"/>
      <c r="D916" s="18"/>
      <c r="E916" s="19"/>
      <c r="F916" s="19"/>
    </row>
    <row r="917">
      <c r="B917" s="26"/>
      <c r="D917" s="18"/>
      <c r="E917" s="19"/>
      <c r="F917" s="19"/>
    </row>
    <row r="918">
      <c r="B918" s="26"/>
      <c r="D918" s="18"/>
      <c r="E918" s="19"/>
      <c r="F918" s="19"/>
    </row>
    <row r="919">
      <c r="B919" s="26"/>
      <c r="D919" s="18"/>
      <c r="E919" s="19"/>
      <c r="F919" s="19"/>
    </row>
    <row r="920">
      <c r="B920" s="26"/>
      <c r="D920" s="18"/>
      <c r="E920" s="19"/>
      <c r="F920" s="19"/>
    </row>
    <row r="921">
      <c r="B921" s="26"/>
      <c r="D921" s="18"/>
      <c r="E921" s="19"/>
      <c r="F921" s="19"/>
    </row>
    <row r="922">
      <c r="B922" s="26"/>
      <c r="D922" s="18"/>
      <c r="E922" s="19"/>
      <c r="F922" s="19"/>
    </row>
    <row r="923">
      <c r="B923" s="26"/>
      <c r="D923" s="18"/>
      <c r="E923" s="19"/>
      <c r="F923" s="19"/>
    </row>
    <row r="924">
      <c r="B924" s="26"/>
      <c r="D924" s="18"/>
      <c r="E924" s="19"/>
      <c r="F924" s="19"/>
    </row>
    <row r="925">
      <c r="B925" s="26"/>
      <c r="D925" s="18"/>
      <c r="E925" s="19"/>
      <c r="F925" s="19"/>
    </row>
    <row r="926">
      <c r="B926" s="26"/>
      <c r="D926" s="18"/>
      <c r="E926" s="19"/>
      <c r="F926" s="19"/>
    </row>
    <row r="927">
      <c r="B927" s="26"/>
      <c r="D927" s="18"/>
      <c r="E927" s="19"/>
      <c r="F927" s="19"/>
    </row>
    <row r="928">
      <c r="B928" s="26"/>
      <c r="D928" s="18"/>
      <c r="E928" s="19"/>
      <c r="F928" s="19"/>
    </row>
    <row r="929">
      <c r="B929" s="26"/>
      <c r="D929" s="18"/>
      <c r="E929" s="19"/>
      <c r="F929" s="19"/>
    </row>
    <row r="930">
      <c r="B930" s="26"/>
      <c r="D930" s="18"/>
      <c r="E930" s="19"/>
      <c r="F930" s="19"/>
    </row>
    <row r="931">
      <c r="B931" s="26"/>
      <c r="D931" s="18"/>
      <c r="E931" s="19"/>
      <c r="F931" s="19"/>
    </row>
    <row r="932">
      <c r="B932" s="26"/>
      <c r="D932" s="18"/>
      <c r="E932" s="19"/>
      <c r="F932" s="19"/>
    </row>
    <row r="933">
      <c r="B933" s="26"/>
      <c r="D933" s="18"/>
      <c r="E933" s="19"/>
      <c r="F933" s="19"/>
    </row>
    <row r="934">
      <c r="B934" s="26"/>
      <c r="D934" s="18"/>
      <c r="E934" s="19"/>
      <c r="F934" s="19"/>
    </row>
    <row r="935">
      <c r="B935" s="26"/>
      <c r="D935" s="18"/>
      <c r="E935" s="19"/>
      <c r="F935" s="19"/>
    </row>
    <row r="936">
      <c r="B936" s="26"/>
      <c r="D936" s="18"/>
      <c r="E936" s="19"/>
      <c r="F936" s="19"/>
    </row>
    <row r="937">
      <c r="B937" s="26"/>
      <c r="D937" s="18"/>
      <c r="E937" s="19"/>
      <c r="F937" s="19"/>
    </row>
    <row r="938">
      <c r="B938" s="26"/>
      <c r="D938" s="18"/>
      <c r="E938" s="19"/>
      <c r="F938" s="19"/>
    </row>
    <row r="939">
      <c r="B939" s="26"/>
      <c r="D939" s="18"/>
      <c r="E939" s="19"/>
      <c r="F939" s="19"/>
    </row>
    <row r="940">
      <c r="B940" s="26"/>
      <c r="D940" s="18"/>
      <c r="E940" s="19"/>
      <c r="F940" s="19"/>
    </row>
    <row r="941">
      <c r="B941" s="26"/>
      <c r="D941" s="18"/>
      <c r="E941" s="19"/>
      <c r="F941" s="19"/>
    </row>
    <row r="942">
      <c r="B942" s="26"/>
      <c r="D942" s="18"/>
      <c r="E942" s="19"/>
      <c r="F942" s="19"/>
    </row>
    <row r="943">
      <c r="B943" s="26"/>
      <c r="D943" s="18"/>
      <c r="E943" s="19"/>
      <c r="F943" s="19"/>
    </row>
    <row r="944">
      <c r="B944" s="26"/>
      <c r="D944" s="18"/>
      <c r="E944" s="19"/>
      <c r="F944" s="19"/>
    </row>
    <row r="945">
      <c r="B945" s="26"/>
      <c r="D945" s="18"/>
      <c r="E945" s="19"/>
      <c r="F945" s="19"/>
    </row>
    <row r="946">
      <c r="B946" s="26"/>
      <c r="D946" s="18"/>
      <c r="E946" s="19"/>
      <c r="F946" s="19"/>
    </row>
    <row r="947">
      <c r="B947" s="26"/>
      <c r="D947" s="18"/>
      <c r="E947" s="19"/>
      <c r="F947" s="19"/>
    </row>
    <row r="948">
      <c r="B948" s="26"/>
      <c r="D948" s="18"/>
      <c r="E948" s="19"/>
      <c r="F948" s="19"/>
    </row>
    <row r="949">
      <c r="B949" s="26"/>
      <c r="D949" s="18"/>
      <c r="E949" s="19"/>
      <c r="F949" s="19"/>
    </row>
    <row r="950">
      <c r="B950" s="26"/>
      <c r="D950" s="18"/>
      <c r="E950" s="19"/>
      <c r="F950" s="19"/>
    </row>
    <row r="951">
      <c r="B951" s="26"/>
      <c r="D951" s="18"/>
      <c r="E951" s="19"/>
      <c r="F951" s="19"/>
    </row>
    <row r="952">
      <c r="B952" s="26"/>
      <c r="D952" s="18"/>
      <c r="E952" s="19"/>
      <c r="F952" s="19"/>
    </row>
    <row r="953">
      <c r="B953" s="26"/>
      <c r="D953" s="18"/>
      <c r="E953" s="19"/>
      <c r="F953" s="19"/>
    </row>
    <row r="954">
      <c r="B954" s="26"/>
      <c r="D954" s="18"/>
      <c r="E954" s="19"/>
      <c r="F954" s="19"/>
    </row>
    <row r="955">
      <c r="B955" s="26"/>
      <c r="D955" s="18"/>
      <c r="E955" s="19"/>
      <c r="F955" s="19"/>
    </row>
    <row r="956">
      <c r="B956" s="26"/>
      <c r="D956" s="18"/>
      <c r="E956" s="19"/>
      <c r="F956" s="19"/>
    </row>
    <row r="957">
      <c r="B957" s="26"/>
      <c r="D957" s="18"/>
      <c r="E957" s="19"/>
      <c r="F957" s="19"/>
    </row>
    <row r="958">
      <c r="B958" s="26"/>
      <c r="D958" s="18"/>
      <c r="E958" s="19"/>
      <c r="F958" s="19"/>
    </row>
    <row r="959">
      <c r="B959" s="26"/>
      <c r="D959" s="18"/>
      <c r="E959" s="19"/>
      <c r="F959" s="19"/>
    </row>
    <row r="960">
      <c r="B960" s="26"/>
      <c r="D960" s="18"/>
      <c r="E960" s="19"/>
      <c r="F960" s="19"/>
    </row>
    <row r="961">
      <c r="B961" s="26"/>
      <c r="D961" s="18"/>
      <c r="E961" s="19"/>
      <c r="F961" s="19"/>
    </row>
    <row r="962">
      <c r="B962" s="26"/>
      <c r="D962" s="18"/>
      <c r="E962" s="19"/>
      <c r="F962" s="19"/>
    </row>
    <row r="963">
      <c r="B963" s="26"/>
      <c r="D963" s="18"/>
      <c r="E963" s="19"/>
      <c r="F963" s="19"/>
    </row>
    <row r="964">
      <c r="B964" s="26"/>
      <c r="D964" s="18"/>
      <c r="E964" s="19"/>
      <c r="F964" s="19"/>
    </row>
    <row r="965">
      <c r="B965" s="26"/>
      <c r="D965" s="18"/>
      <c r="E965" s="19"/>
      <c r="F965" s="19"/>
    </row>
    <row r="966">
      <c r="B966" s="26"/>
      <c r="D966" s="18"/>
      <c r="E966" s="19"/>
      <c r="F966" s="19"/>
    </row>
    <row r="967">
      <c r="B967" s="26"/>
      <c r="D967" s="18"/>
      <c r="E967" s="19"/>
      <c r="F967" s="19"/>
    </row>
    <row r="968">
      <c r="B968" s="26"/>
      <c r="D968" s="18"/>
      <c r="E968" s="19"/>
      <c r="F968" s="19"/>
    </row>
    <row r="969">
      <c r="B969" s="26"/>
      <c r="D969" s="18"/>
      <c r="E969" s="19"/>
      <c r="F969" s="19"/>
    </row>
    <row r="970">
      <c r="B970" s="26"/>
      <c r="D970" s="18"/>
      <c r="E970" s="19"/>
      <c r="F970" s="19"/>
    </row>
    <row r="971">
      <c r="B971" s="26"/>
      <c r="D971" s="18"/>
      <c r="E971" s="19"/>
      <c r="F971" s="19"/>
    </row>
    <row r="972">
      <c r="B972" s="26"/>
      <c r="D972" s="18"/>
      <c r="E972" s="19"/>
      <c r="F972" s="19"/>
    </row>
    <row r="973">
      <c r="B973" s="26"/>
      <c r="D973" s="18"/>
      <c r="E973" s="19"/>
      <c r="F973" s="19"/>
    </row>
    <row r="974">
      <c r="B974" s="26"/>
      <c r="D974" s="18"/>
      <c r="E974" s="19"/>
      <c r="F974" s="19"/>
    </row>
    <row r="975">
      <c r="B975" s="26"/>
      <c r="D975" s="18"/>
      <c r="E975" s="19"/>
      <c r="F975" s="19"/>
    </row>
    <row r="976">
      <c r="B976" s="26"/>
      <c r="D976" s="18"/>
      <c r="E976" s="19"/>
      <c r="F976" s="19"/>
    </row>
    <row r="977">
      <c r="B977" s="26"/>
      <c r="D977" s="18"/>
      <c r="E977" s="19"/>
      <c r="F977" s="19"/>
    </row>
    <row r="978">
      <c r="B978" s="26"/>
      <c r="D978" s="18"/>
      <c r="E978" s="19"/>
      <c r="F978" s="19"/>
    </row>
    <row r="979">
      <c r="B979" s="26"/>
      <c r="D979" s="18"/>
      <c r="E979" s="19"/>
      <c r="F979" s="19"/>
    </row>
    <row r="980">
      <c r="B980" s="26"/>
      <c r="D980" s="18"/>
      <c r="E980" s="19"/>
      <c r="F980" s="19"/>
    </row>
    <row r="981">
      <c r="B981" s="26"/>
      <c r="D981" s="18"/>
      <c r="E981" s="19"/>
      <c r="F981" s="19"/>
    </row>
    <row r="982">
      <c r="B982" s="26"/>
      <c r="D982" s="18"/>
      <c r="E982" s="19"/>
      <c r="F982" s="19"/>
    </row>
    <row r="983">
      <c r="B983" s="26"/>
      <c r="D983" s="18"/>
      <c r="E983" s="19"/>
      <c r="F983" s="19"/>
    </row>
    <row r="984">
      <c r="B984" s="26"/>
      <c r="D984" s="18"/>
      <c r="E984" s="19"/>
      <c r="F984" s="19"/>
    </row>
    <row r="985">
      <c r="B985" s="26"/>
      <c r="D985" s="18"/>
      <c r="E985" s="19"/>
      <c r="F985" s="19"/>
    </row>
    <row r="986">
      <c r="B986" s="26"/>
      <c r="D986" s="18"/>
      <c r="E986" s="19"/>
      <c r="F986" s="19"/>
    </row>
    <row r="987">
      <c r="B987" s="26"/>
      <c r="D987" s="18"/>
      <c r="E987" s="19"/>
      <c r="F987" s="19"/>
    </row>
    <row r="988">
      <c r="B988" s="26"/>
      <c r="D988" s="18"/>
      <c r="E988" s="19"/>
      <c r="F988" s="19"/>
    </row>
    <row r="989">
      <c r="B989" s="26"/>
      <c r="D989" s="18"/>
      <c r="E989" s="19"/>
      <c r="F989" s="19"/>
    </row>
    <row r="990">
      <c r="B990" s="26"/>
      <c r="D990" s="18"/>
      <c r="E990" s="19"/>
      <c r="F990" s="19"/>
    </row>
    <row r="991">
      <c r="B991" s="26"/>
      <c r="D991" s="18"/>
      <c r="E991" s="19"/>
      <c r="F991" s="19"/>
    </row>
    <row r="992">
      <c r="B992" s="26"/>
      <c r="D992" s="18"/>
      <c r="E992" s="19"/>
      <c r="F992" s="19"/>
    </row>
    <row r="993">
      <c r="B993" s="26"/>
      <c r="D993" s="18"/>
      <c r="E993" s="19"/>
      <c r="F993" s="19"/>
    </row>
    <row r="994">
      <c r="B994" s="26"/>
      <c r="D994" s="18"/>
      <c r="E994" s="19"/>
      <c r="F994" s="19"/>
    </row>
    <row r="995">
      <c r="B995" s="26"/>
      <c r="D995" s="18"/>
      <c r="E995" s="19"/>
      <c r="F995" s="19"/>
    </row>
    <row r="996">
      <c r="B996" s="26"/>
      <c r="D996" s="18"/>
      <c r="E996" s="19"/>
      <c r="F996" s="19"/>
    </row>
    <row r="997">
      <c r="B997" s="26"/>
      <c r="D997" s="18"/>
      <c r="E997" s="19"/>
      <c r="F997" s="19"/>
    </row>
    <row r="998">
      <c r="B998" s="26"/>
      <c r="D998" s="18"/>
      <c r="E998" s="19"/>
      <c r="F998" s="19"/>
    </row>
    <row r="999">
      <c r="B999" s="26"/>
      <c r="D999" s="18"/>
      <c r="E999" s="19"/>
      <c r="F999" s="19"/>
    </row>
    <row r="1000">
      <c r="B1000" s="26"/>
      <c r="D1000" s="18"/>
      <c r="E1000" s="19"/>
      <c r="F1000" s="19"/>
    </row>
    <row r="1001">
      <c r="B1001" s="26"/>
      <c r="D1001" s="18"/>
      <c r="E1001" s="19"/>
      <c r="F1001" s="19"/>
    </row>
    <row r="1002">
      <c r="B1002" s="26"/>
      <c r="D1002" s="18"/>
      <c r="E1002" s="19"/>
      <c r="F1002" s="19"/>
    </row>
    <row r="1003">
      <c r="B1003" s="26"/>
      <c r="D1003" s="18"/>
      <c r="E1003" s="19"/>
      <c r="F1003" s="19"/>
    </row>
    <row r="1004">
      <c r="B1004" s="26"/>
      <c r="D1004" s="18"/>
      <c r="E1004" s="19"/>
      <c r="F1004" s="19"/>
    </row>
    <row r="1005">
      <c r="B1005" s="26"/>
      <c r="D1005" s="18"/>
      <c r="E1005" s="19"/>
      <c r="F1005" s="19"/>
    </row>
    <row r="1006">
      <c r="B1006" s="26"/>
      <c r="D1006" s="18"/>
      <c r="E1006" s="19"/>
      <c r="F1006" s="19"/>
    </row>
    <row r="1007">
      <c r="B1007" s="26"/>
      <c r="D1007" s="18"/>
      <c r="E1007" s="19"/>
      <c r="F1007" s="19"/>
    </row>
    <row r="1008">
      <c r="B1008" s="26"/>
      <c r="D1008" s="18"/>
      <c r="E1008" s="19"/>
      <c r="F1008" s="19"/>
    </row>
    <row r="1009">
      <c r="B1009" s="26"/>
      <c r="D1009" s="18"/>
      <c r="E1009" s="19"/>
      <c r="F1009" s="19"/>
    </row>
    <row r="1010">
      <c r="B1010" s="26"/>
      <c r="D1010" s="18"/>
      <c r="E1010" s="19"/>
      <c r="F1010" s="19"/>
    </row>
    <row r="1011">
      <c r="B1011" s="26"/>
      <c r="D1011" s="18"/>
      <c r="E1011" s="19"/>
      <c r="F1011" s="19"/>
    </row>
    <row r="1012">
      <c r="B1012" s="26"/>
      <c r="D1012" s="18"/>
      <c r="E1012" s="19"/>
      <c r="F1012" s="19"/>
    </row>
    <row r="1013">
      <c r="B1013" s="26"/>
      <c r="D1013" s="18"/>
      <c r="E1013" s="19"/>
      <c r="F1013" s="19"/>
    </row>
    <row r="1014">
      <c r="B1014" s="26"/>
      <c r="D1014" s="18"/>
      <c r="E1014" s="19"/>
      <c r="F1014" s="19"/>
    </row>
    <row r="1015">
      <c r="B1015" s="26"/>
      <c r="D1015" s="18"/>
      <c r="E1015" s="19"/>
      <c r="F1015" s="19"/>
    </row>
    <row r="1016">
      <c r="B1016" s="26"/>
      <c r="D1016" s="18"/>
      <c r="E1016" s="19"/>
      <c r="F1016" s="19"/>
    </row>
    <row r="1017">
      <c r="B1017" s="26"/>
      <c r="D1017" s="18"/>
      <c r="E1017" s="19"/>
      <c r="F1017" s="19"/>
    </row>
    <row r="1018">
      <c r="B1018" s="26"/>
      <c r="D1018" s="18"/>
      <c r="E1018" s="19"/>
      <c r="F1018" s="19"/>
    </row>
    <row r="1019">
      <c r="B1019" s="26"/>
      <c r="D1019" s="18"/>
      <c r="E1019" s="19"/>
      <c r="F1019" s="19"/>
    </row>
    <row r="1020">
      <c r="B1020" s="26"/>
      <c r="D1020" s="18"/>
      <c r="E1020" s="19"/>
      <c r="F1020" s="19"/>
    </row>
    <row r="1021">
      <c r="B1021" s="26"/>
      <c r="D1021" s="18"/>
      <c r="E1021" s="19"/>
      <c r="F1021" s="19"/>
    </row>
    <row r="1022">
      <c r="B1022" s="26"/>
      <c r="D1022" s="18"/>
      <c r="E1022" s="19"/>
      <c r="F1022" s="19"/>
    </row>
    <row r="1023">
      <c r="B1023" s="26"/>
      <c r="D1023" s="18"/>
      <c r="E1023" s="19"/>
      <c r="F1023" s="19"/>
    </row>
    <row r="1024">
      <c r="B1024" s="26"/>
      <c r="D1024" s="18"/>
      <c r="E1024" s="19"/>
      <c r="F1024" s="19"/>
    </row>
    <row r="1025">
      <c r="B1025" s="26"/>
      <c r="D1025" s="18"/>
      <c r="E1025" s="19"/>
      <c r="F1025" s="19"/>
    </row>
    <row r="1026">
      <c r="B1026" s="26"/>
      <c r="D1026" s="18"/>
      <c r="E1026" s="19"/>
      <c r="F1026" s="19"/>
    </row>
    <row r="1027">
      <c r="B1027" s="26"/>
      <c r="D1027" s="18"/>
      <c r="E1027" s="19"/>
      <c r="F1027" s="19"/>
    </row>
    <row r="1028">
      <c r="B1028" s="26"/>
      <c r="D1028" s="18"/>
      <c r="E1028" s="19"/>
      <c r="F1028" s="19"/>
    </row>
    <row r="1029">
      <c r="B1029" s="26"/>
      <c r="D1029" s="18"/>
      <c r="E1029" s="19"/>
      <c r="F1029" s="19"/>
    </row>
    <row r="1030">
      <c r="B1030" s="26"/>
      <c r="D1030" s="18"/>
      <c r="E1030" s="19"/>
      <c r="F1030" s="19"/>
    </row>
    <row r="1031">
      <c r="B1031" s="26"/>
      <c r="D1031" s="18"/>
      <c r="E1031" s="19"/>
      <c r="F1031" s="19"/>
    </row>
    <row r="1032">
      <c r="B1032" s="26"/>
      <c r="D1032" s="18"/>
      <c r="E1032" s="19"/>
      <c r="F1032" s="19"/>
    </row>
    <row r="1033">
      <c r="B1033" s="26"/>
      <c r="D1033" s="18"/>
      <c r="E1033" s="19"/>
      <c r="F1033" s="19"/>
    </row>
    <row r="1034">
      <c r="B1034" s="26"/>
      <c r="D1034" s="18"/>
      <c r="E1034" s="19"/>
      <c r="F1034" s="19"/>
    </row>
    <row r="1035">
      <c r="B1035" s="26"/>
      <c r="D1035" s="18"/>
      <c r="E1035" s="19"/>
      <c r="F1035" s="19"/>
    </row>
    <row r="1036">
      <c r="B1036" s="26"/>
      <c r="D1036" s="18"/>
      <c r="E1036" s="19"/>
      <c r="F1036" s="19"/>
    </row>
    <row r="1037">
      <c r="B1037" s="26"/>
      <c r="D1037" s="18"/>
      <c r="E1037" s="19"/>
      <c r="F1037" s="19"/>
    </row>
    <row r="1038">
      <c r="B1038" s="26"/>
      <c r="D1038" s="18"/>
      <c r="E1038" s="19"/>
      <c r="F1038" s="19"/>
    </row>
    <row r="1039">
      <c r="B1039" s="26"/>
      <c r="D1039" s="18"/>
      <c r="E1039" s="19"/>
      <c r="F1039" s="19"/>
    </row>
    <row r="1040">
      <c r="B1040" s="26"/>
      <c r="D1040" s="18"/>
      <c r="E1040" s="19"/>
      <c r="F1040" s="19"/>
    </row>
    <row r="1041">
      <c r="B1041" s="26"/>
      <c r="D1041" s="18"/>
      <c r="E1041" s="19"/>
      <c r="F1041" s="19"/>
    </row>
    <row r="1042">
      <c r="B1042" s="26"/>
      <c r="D1042" s="18"/>
      <c r="E1042" s="19"/>
      <c r="F1042" s="19"/>
    </row>
    <row r="1043">
      <c r="B1043" s="26"/>
      <c r="D1043" s="18"/>
      <c r="E1043" s="19"/>
      <c r="F1043" s="19"/>
    </row>
    <row r="1044">
      <c r="B1044" s="26"/>
      <c r="D1044" s="18"/>
      <c r="E1044" s="19"/>
      <c r="F1044" s="19"/>
    </row>
    <row r="1045">
      <c r="B1045" s="26"/>
      <c r="D1045" s="18"/>
      <c r="E1045" s="19"/>
      <c r="F1045" s="19"/>
    </row>
    <row r="1046">
      <c r="B1046" s="26"/>
      <c r="D1046" s="18"/>
      <c r="E1046" s="19"/>
      <c r="F1046" s="19"/>
    </row>
    <row r="1047">
      <c r="B1047" s="26"/>
      <c r="D1047" s="18"/>
      <c r="E1047" s="19"/>
      <c r="F1047" s="19"/>
    </row>
    <row r="1048">
      <c r="B1048" s="26"/>
      <c r="D1048" s="18"/>
      <c r="E1048" s="19"/>
      <c r="F1048" s="19"/>
    </row>
    <row r="1049">
      <c r="B1049" s="26"/>
      <c r="D1049" s="18"/>
      <c r="E1049" s="19"/>
      <c r="F1049" s="19"/>
    </row>
    <row r="1050">
      <c r="B1050" s="26"/>
      <c r="D1050" s="18"/>
      <c r="E1050" s="19"/>
      <c r="F1050" s="19"/>
    </row>
    <row r="1051">
      <c r="B1051" s="26"/>
      <c r="D1051" s="18"/>
      <c r="E1051" s="19"/>
      <c r="F1051" s="19"/>
    </row>
    <row r="1052">
      <c r="B1052" s="26"/>
      <c r="D1052" s="18"/>
      <c r="E1052" s="19"/>
      <c r="F1052" s="19"/>
    </row>
    <row r="1053">
      <c r="B1053" s="26"/>
      <c r="D1053" s="18"/>
      <c r="E1053" s="19"/>
      <c r="F1053" s="19"/>
    </row>
    <row r="1054">
      <c r="B1054" s="26"/>
      <c r="D1054" s="18"/>
      <c r="E1054" s="19"/>
      <c r="F1054" s="19"/>
    </row>
    <row r="1055">
      <c r="B1055" s="26"/>
      <c r="D1055" s="18"/>
      <c r="E1055" s="19"/>
      <c r="F1055" s="19"/>
    </row>
    <row r="1056">
      <c r="B1056" s="26"/>
      <c r="D1056" s="18"/>
      <c r="E1056" s="19"/>
      <c r="F1056" s="19"/>
    </row>
    <row r="1057">
      <c r="B1057" s="26"/>
      <c r="D1057" s="18"/>
      <c r="E1057" s="19"/>
      <c r="F1057" s="19"/>
    </row>
    <row r="1058">
      <c r="B1058" s="26"/>
      <c r="D1058" s="18"/>
      <c r="E1058" s="19"/>
      <c r="F1058" s="19"/>
    </row>
    <row r="1059">
      <c r="B1059" s="26"/>
      <c r="D1059" s="18"/>
      <c r="E1059" s="19"/>
      <c r="F1059" s="19"/>
    </row>
    <row r="1060">
      <c r="B1060" s="26"/>
      <c r="D1060" s="18"/>
      <c r="E1060" s="19"/>
      <c r="F1060" s="19"/>
    </row>
    <row r="1061">
      <c r="B1061" s="26"/>
      <c r="D1061" s="18"/>
      <c r="E1061" s="19"/>
      <c r="F1061" s="19"/>
    </row>
    <row r="1062">
      <c r="B1062" s="26"/>
      <c r="D1062" s="18"/>
      <c r="E1062" s="19"/>
      <c r="F1062" s="19"/>
    </row>
    <row r="1063">
      <c r="B1063" s="26"/>
      <c r="D1063" s="18"/>
      <c r="E1063" s="19"/>
      <c r="F1063" s="19"/>
    </row>
    <row r="1064">
      <c r="B1064" s="26"/>
      <c r="D1064" s="18"/>
      <c r="E1064" s="19"/>
      <c r="F1064" s="19"/>
    </row>
    <row r="1065">
      <c r="B1065" s="26"/>
      <c r="D1065" s="18"/>
      <c r="E1065" s="19"/>
      <c r="F1065" s="19"/>
    </row>
    <row r="1066">
      <c r="B1066" s="26"/>
      <c r="D1066" s="18"/>
      <c r="E1066" s="19"/>
      <c r="F1066" s="19"/>
    </row>
    <row r="1067">
      <c r="B1067" s="26"/>
      <c r="D1067" s="18"/>
      <c r="E1067" s="19"/>
      <c r="F1067" s="19"/>
    </row>
    <row r="1068">
      <c r="B1068" s="26"/>
      <c r="D1068" s="18"/>
      <c r="E1068" s="19"/>
      <c r="F1068" s="19"/>
    </row>
    <row r="1069">
      <c r="B1069" s="26"/>
      <c r="D1069" s="18"/>
      <c r="E1069" s="19"/>
      <c r="F1069" s="19"/>
    </row>
    <row r="1070">
      <c r="B1070" s="26"/>
      <c r="D1070" s="18"/>
      <c r="E1070" s="19"/>
      <c r="F1070" s="19"/>
    </row>
    <row r="1071">
      <c r="B1071" s="26"/>
      <c r="D1071" s="18"/>
      <c r="E1071" s="19"/>
      <c r="F1071" s="19"/>
    </row>
    <row r="1072">
      <c r="B1072" s="26"/>
      <c r="D1072" s="18"/>
      <c r="E1072" s="19"/>
      <c r="F1072"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9.38"/>
    <col customWidth="1" min="3" max="3" width="13.88"/>
    <col customWidth="1" min="4" max="4" width="9.13"/>
    <col customWidth="1" min="5" max="5" width="6.5"/>
    <col customWidth="1" min="6" max="6" width="6.75"/>
    <col customWidth="1" min="7" max="7" width="126.13"/>
  </cols>
  <sheetData>
    <row r="1" ht="38.25" customHeight="1">
      <c r="A1" s="36">
        <f>SUM(A3:A44)</f>
        <v>661</v>
      </c>
      <c r="B1" s="71" t="s">
        <v>0</v>
      </c>
      <c r="C1" s="36">
        <f>SUM(F3:F100)</f>
        <v>82</v>
      </c>
      <c r="D1" s="3"/>
      <c r="E1" s="4"/>
      <c r="F1" s="4"/>
      <c r="G1" s="5" t="s">
        <v>1</v>
      </c>
    </row>
    <row r="2">
      <c r="A2" s="43" t="s">
        <v>2</v>
      </c>
      <c r="B2" s="45" t="s">
        <v>3</v>
      </c>
      <c r="C2" s="45" t="s">
        <v>4</v>
      </c>
      <c r="D2" s="46" t="s">
        <v>527</v>
      </c>
      <c r="E2" s="45" t="s">
        <v>6</v>
      </c>
      <c r="F2" s="45" t="s">
        <v>234</v>
      </c>
      <c r="G2" s="47" t="s">
        <v>8</v>
      </c>
    </row>
    <row r="3">
      <c r="A3" s="56"/>
      <c r="B3" s="72"/>
      <c r="C3" s="58"/>
      <c r="D3" s="59"/>
      <c r="E3" s="73"/>
      <c r="F3" s="73"/>
      <c r="G3" s="74"/>
    </row>
    <row r="4">
      <c r="A4" s="56"/>
      <c r="B4" s="72"/>
      <c r="C4" s="58"/>
      <c r="D4" s="59"/>
      <c r="E4" s="73"/>
      <c r="F4" s="73"/>
      <c r="G4" s="64"/>
    </row>
    <row r="5">
      <c r="A5" s="11"/>
      <c r="B5" s="75"/>
      <c r="C5" s="49"/>
      <c r="D5" s="50"/>
      <c r="E5" s="61"/>
      <c r="F5" s="61"/>
      <c r="G5" s="62"/>
    </row>
    <row r="6">
      <c r="A6" s="11"/>
      <c r="B6" s="75"/>
      <c r="C6" s="49"/>
      <c r="D6" s="50"/>
      <c r="E6" s="61"/>
      <c r="F6" s="61"/>
      <c r="G6" s="62"/>
    </row>
    <row r="7">
      <c r="A7" s="11"/>
      <c r="B7" s="75"/>
      <c r="C7" s="49"/>
      <c r="D7" s="50"/>
      <c r="E7" s="61"/>
      <c r="F7" s="61"/>
      <c r="G7" s="62"/>
    </row>
    <row r="8">
      <c r="A8" s="11">
        <v>2.0</v>
      </c>
      <c r="B8" s="76" t="s">
        <v>528</v>
      </c>
      <c r="C8" s="49" t="s">
        <v>26</v>
      </c>
      <c r="D8" s="50" t="s">
        <v>529</v>
      </c>
      <c r="E8" s="61">
        <v>2.0</v>
      </c>
      <c r="F8" s="61">
        <v>1.0</v>
      </c>
      <c r="G8" s="62" t="s">
        <v>530</v>
      </c>
    </row>
    <row r="9">
      <c r="A9" s="11">
        <f t="shared" ref="A9:A29" si="1">E9*F9</f>
        <v>4</v>
      </c>
      <c r="B9" s="75">
        <v>44541.0</v>
      </c>
      <c r="C9" s="49" t="s">
        <v>214</v>
      </c>
      <c r="D9" s="50" t="s">
        <v>531</v>
      </c>
      <c r="E9" s="61">
        <v>4.0</v>
      </c>
      <c r="F9" s="61">
        <v>1.0</v>
      </c>
      <c r="G9" s="62" t="s">
        <v>532</v>
      </c>
    </row>
    <row r="10">
      <c r="A10" s="11">
        <f t="shared" si="1"/>
        <v>6</v>
      </c>
      <c r="B10" s="76" t="s">
        <v>533</v>
      </c>
      <c r="C10" s="49" t="s">
        <v>29</v>
      </c>
      <c r="D10" s="50" t="s">
        <v>23</v>
      </c>
      <c r="E10" s="61">
        <v>6.0</v>
      </c>
      <c r="F10" s="61">
        <v>1.0</v>
      </c>
      <c r="G10" s="62" t="s">
        <v>534</v>
      </c>
    </row>
    <row r="11">
      <c r="A11" s="11">
        <f t="shared" si="1"/>
        <v>3</v>
      </c>
      <c r="B11" s="76" t="s">
        <v>535</v>
      </c>
      <c r="C11" s="49" t="s">
        <v>276</v>
      </c>
      <c r="D11" s="50" t="s">
        <v>23</v>
      </c>
      <c r="E11" s="61">
        <v>3.0</v>
      </c>
      <c r="F11" s="61">
        <v>1.0</v>
      </c>
      <c r="G11" s="62" t="s">
        <v>536</v>
      </c>
    </row>
    <row r="12">
      <c r="A12" s="11">
        <f t="shared" si="1"/>
        <v>80</v>
      </c>
      <c r="B12" s="76" t="s">
        <v>537</v>
      </c>
      <c r="C12" s="49" t="s">
        <v>126</v>
      </c>
      <c r="D12" s="77" t="s">
        <v>529</v>
      </c>
      <c r="E12" s="61">
        <v>8.0</v>
      </c>
      <c r="F12" s="61">
        <v>10.0</v>
      </c>
      <c r="G12" s="62" t="s">
        <v>538</v>
      </c>
    </row>
    <row r="13">
      <c r="A13" s="11">
        <f t="shared" si="1"/>
        <v>2</v>
      </c>
      <c r="B13" s="75">
        <v>44510.0</v>
      </c>
      <c r="C13" s="49" t="s">
        <v>250</v>
      </c>
      <c r="D13" s="50" t="s">
        <v>23</v>
      </c>
      <c r="E13" s="61">
        <v>2.0</v>
      </c>
      <c r="F13" s="61">
        <v>1.0</v>
      </c>
      <c r="G13" s="62" t="s">
        <v>539</v>
      </c>
    </row>
    <row r="14">
      <c r="A14" s="11">
        <f t="shared" si="1"/>
        <v>9</v>
      </c>
      <c r="B14" s="75">
        <v>44449.0</v>
      </c>
      <c r="C14" s="49" t="s">
        <v>140</v>
      </c>
      <c r="D14" s="50" t="s">
        <v>23</v>
      </c>
      <c r="E14" s="61">
        <v>9.0</v>
      </c>
      <c r="F14" s="61">
        <v>1.0</v>
      </c>
      <c r="G14" s="37" t="s">
        <v>540</v>
      </c>
    </row>
    <row r="15">
      <c r="A15" s="11">
        <f t="shared" si="1"/>
        <v>3</v>
      </c>
      <c r="B15" s="75">
        <v>44206.0</v>
      </c>
      <c r="C15" s="49" t="s">
        <v>541</v>
      </c>
      <c r="D15" s="50" t="s">
        <v>23</v>
      </c>
      <c r="E15" s="61">
        <v>3.0</v>
      </c>
      <c r="F15" s="61">
        <v>1.0</v>
      </c>
      <c r="G15" s="62" t="s">
        <v>542</v>
      </c>
    </row>
    <row r="16">
      <c r="A16" s="11">
        <f t="shared" si="1"/>
        <v>152</v>
      </c>
      <c r="B16" s="75">
        <v>44509.0</v>
      </c>
      <c r="C16" s="49" t="s">
        <v>543</v>
      </c>
      <c r="D16" s="77" t="s">
        <v>529</v>
      </c>
      <c r="E16" s="61">
        <v>19.0</v>
      </c>
      <c r="F16" s="61">
        <v>8.0</v>
      </c>
      <c r="G16" s="62"/>
    </row>
    <row r="17">
      <c r="A17" s="11">
        <f t="shared" si="1"/>
        <v>64</v>
      </c>
      <c r="B17" s="75">
        <v>44295.0</v>
      </c>
      <c r="C17" s="49" t="s">
        <v>543</v>
      </c>
      <c r="D17" s="77" t="s">
        <v>529</v>
      </c>
      <c r="E17" s="61">
        <v>8.0</v>
      </c>
      <c r="F17" s="61">
        <v>8.0</v>
      </c>
      <c r="G17" s="62" t="s">
        <v>538</v>
      </c>
    </row>
    <row r="18">
      <c r="A18" s="11">
        <f t="shared" si="1"/>
        <v>4</v>
      </c>
      <c r="B18" s="76" t="s">
        <v>544</v>
      </c>
      <c r="C18" s="49" t="s">
        <v>276</v>
      </c>
      <c r="D18" s="50" t="s">
        <v>23</v>
      </c>
      <c r="E18" s="61">
        <v>4.0</v>
      </c>
      <c r="F18" s="61">
        <v>1.0</v>
      </c>
      <c r="G18" s="62" t="s">
        <v>545</v>
      </c>
    </row>
    <row r="19">
      <c r="A19" s="11">
        <f t="shared" si="1"/>
        <v>3</v>
      </c>
      <c r="B19" s="76" t="s">
        <v>546</v>
      </c>
      <c r="C19" s="49" t="s">
        <v>250</v>
      </c>
      <c r="D19" s="50" t="s">
        <v>23</v>
      </c>
      <c r="E19" s="61">
        <v>3.0</v>
      </c>
      <c r="F19" s="61">
        <v>1.0</v>
      </c>
      <c r="G19" s="62" t="s">
        <v>547</v>
      </c>
    </row>
    <row r="20">
      <c r="A20" s="11">
        <f t="shared" si="1"/>
        <v>3</v>
      </c>
      <c r="B20" s="76" t="s">
        <v>548</v>
      </c>
      <c r="C20" s="49" t="s">
        <v>243</v>
      </c>
      <c r="D20" s="50" t="s">
        <v>23</v>
      </c>
      <c r="E20" s="61">
        <v>3.0</v>
      </c>
      <c r="F20" s="61">
        <v>1.0</v>
      </c>
      <c r="G20" s="62" t="s">
        <v>549</v>
      </c>
    </row>
    <row r="21">
      <c r="A21" s="11">
        <f t="shared" si="1"/>
        <v>88</v>
      </c>
      <c r="B21" s="75">
        <v>44262.0</v>
      </c>
      <c r="C21" s="49" t="s">
        <v>550</v>
      </c>
      <c r="D21" s="50" t="s">
        <v>551</v>
      </c>
      <c r="E21" s="61">
        <v>11.0</v>
      </c>
      <c r="F21" s="61">
        <v>8.0</v>
      </c>
      <c r="G21" s="62" t="s">
        <v>538</v>
      </c>
    </row>
    <row r="22">
      <c r="A22" s="11">
        <f t="shared" si="1"/>
        <v>88</v>
      </c>
      <c r="B22" s="76" t="s">
        <v>552</v>
      </c>
      <c r="C22" s="49" t="s">
        <v>550</v>
      </c>
      <c r="D22" s="50" t="s">
        <v>551</v>
      </c>
      <c r="E22" s="61">
        <v>11.0</v>
      </c>
      <c r="F22" s="61">
        <v>8.0</v>
      </c>
      <c r="G22" s="62" t="s">
        <v>538</v>
      </c>
    </row>
    <row r="23">
      <c r="A23" s="11">
        <f t="shared" si="1"/>
        <v>2</v>
      </c>
      <c r="B23" s="76" t="s">
        <v>553</v>
      </c>
      <c r="C23" s="49" t="s">
        <v>554</v>
      </c>
      <c r="D23" s="50" t="s">
        <v>23</v>
      </c>
      <c r="E23" s="61">
        <v>2.0</v>
      </c>
      <c r="F23" s="61">
        <v>1.0</v>
      </c>
      <c r="G23" s="62" t="s">
        <v>555</v>
      </c>
    </row>
    <row r="24">
      <c r="A24" s="11">
        <f t="shared" si="1"/>
        <v>2</v>
      </c>
      <c r="B24" s="75">
        <v>44506.0</v>
      </c>
      <c r="C24" s="49" t="s">
        <v>120</v>
      </c>
      <c r="D24" s="50" t="s">
        <v>23</v>
      </c>
      <c r="E24" s="61">
        <v>2.0</v>
      </c>
      <c r="F24" s="61">
        <v>1.0</v>
      </c>
      <c r="G24" s="62" t="s">
        <v>556</v>
      </c>
    </row>
    <row r="25">
      <c r="A25" s="11">
        <f t="shared" si="1"/>
        <v>12</v>
      </c>
      <c r="B25" s="75">
        <v>44322.0</v>
      </c>
      <c r="C25" s="49" t="s">
        <v>36</v>
      </c>
      <c r="D25" s="50" t="s">
        <v>23</v>
      </c>
      <c r="E25" s="61">
        <v>12.0</v>
      </c>
      <c r="F25" s="61">
        <v>1.0</v>
      </c>
      <c r="G25" s="62" t="s">
        <v>557</v>
      </c>
    </row>
    <row r="26">
      <c r="A26" s="11">
        <f t="shared" si="1"/>
        <v>18</v>
      </c>
      <c r="B26" s="75">
        <v>44506.0</v>
      </c>
      <c r="C26" s="49" t="s">
        <v>558</v>
      </c>
      <c r="D26" s="50" t="s">
        <v>78</v>
      </c>
      <c r="E26" s="61">
        <v>6.0</v>
      </c>
      <c r="F26" s="61">
        <v>3.0</v>
      </c>
      <c r="G26" s="62" t="s">
        <v>455</v>
      </c>
    </row>
    <row r="27">
      <c r="A27" s="11">
        <f t="shared" si="1"/>
        <v>2</v>
      </c>
      <c r="B27" s="75">
        <v>44202.0</v>
      </c>
      <c r="C27" s="49" t="s">
        <v>318</v>
      </c>
      <c r="D27" s="50" t="s">
        <v>23</v>
      </c>
      <c r="E27" s="61">
        <v>2.0</v>
      </c>
      <c r="F27" s="61">
        <v>1.0</v>
      </c>
      <c r="G27" s="62" t="s">
        <v>559</v>
      </c>
    </row>
    <row r="28">
      <c r="A28" s="11">
        <f t="shared" si="1"/>
        <v>2</v>
      </c>
      <c r="B28" s="76" t="s">
        <v>560</v>
      </c>
      <c r="C28" s="49" t="s">
        <v>140</v>
      </c>
      <c r="D28" s="50" t="s">
        <v>23</v>
      </c>
      <c r="E28" s="61">
        <v>2.0</v>
      </c>
      <c r="F28" s="61">
        <v>1.0</v>
      </c>
      <c r="G28" s="62" t="s">
        <v>561</v>
      </c>
    </row>
    <row r="29">
      <c r="A29" s="11">
        <f t="shared" si="1"/>
        <v>4</v>
      </c>
      <c r="B29" s="76" t="s">
        <v>562</v>
      </c>
      <c r="C29" s="49" t="s">
        <v>563</v>
      </c>
      <c r="D29" s="50" t="s">
        <v>145</v>
      </c>
      <c r="E29" s="61">
        <v>4.0</v>
      </c>
      <c r="F29" s="61">
        <v>1.0</v>
      </c>
      <c r="G29" s="62" t="s">
        <v>564</v>
      </c>
    </row>
    <row r="30">
      <c r="A30" s="11">
        <v>2.0</v>
      </c>
      <c r="B30" s="76" t="s">
        <v>565</v>
      </c>
      <c r="C30" s="49" t="s">
        <v>140</v>
      </c>
      <c r="D30" s="50" t="s">
        <v>566</v>
      </c>
      <c r="E30" s="61">
        <v>2.0</v>
      </c>
      <c r="F30" s="61">
        <v>1.0</v>
      </c>
      <c r="G30" s="37" t="s">
        <v>567</v>
      </c>
    </row>
    <row r="31">
      <c r="A31" s="11">
        <f t="shared" ref="A31:A36" si="2">E31*F31</f>
        <v>3</v>
      </c>
      <c r="B31" s="76" t="s">
        <v>568</v>
      </c>
      <c r="C31" s="49" t="s">
        <v>36</v>
      </c>
      <c r="D31" s="50" t="s">
        <v>23</v>
      </c>
      <c r="E31" s="61">
        <v>3.0</v>
      </c>
      <c r="F31" s="61">
        <v>1.0</v>
      </c>
      <c r="G31" s="62" t="s">
        <v>569</v>
      </c>
    </row>
    <row r="32">
      <c r="A32" s="11">
        <f t="shared" si="2"/>
        <v>64</v>
      </c>
      <c r="B32" s="76" t="s">
        <v>570</v>
      </c>
      <c r="C32" s="49" t="s">
        <v>571</v>
      </c>
      <c r="D32" s="77" t="s">
        <v>529</v>
      </c>
      <c r="E32" s="61">
        <v>8.0</v>
      </c>
      <c r="F32" s="61">
        <v>8.0</v>
      </c>
      <c r="G32" s="62" t="s">
        <v>538</v>
      </c>
    </row>
    <row r="33">
      <c r="A33" s="11">
        <f t="shared" si="2"/>
        <v>2</v>
      </c>
      <c r="B33" s="76" t="s">
        <v>572</v>
      </c>
      <c r="C33" s="49" t="s">
        <v>36</v>
      </c>
      <c r="D33" s="50" t="s">
        <v>145</v>
      </c>
      <c r="E33" s="61">
        <v>2.0</v>
      </c>
      <c r="F33" s="61">
        <v>1.0</v>
      </c>
      <c r="G33" s="62" t="s">
        <v>573</v>
      </c>
    </row>
    <row r="34">
      <c r="A34" s="11">
        <f t="shared" si="2"/>
        <v>4</v>
      </c>
      <c r="B34" s="75">
        <v>44413.0</v>
      </c>
      <c r="C34" s="49" t="s">
        <v>29</v>
      </c>
      <c r="D34" s="50" t="s">
        <v>23</v>
      </c>
      <c r="E34" s="61">
        <v>4.0</v>
      </c>
      <c r="F34" s="61">
        <v>1.0</v>
      </c>
      <c r="G34" s="62" t="s">
        <v>574</v>
      </c>
    </row>
    <row r="35">
      <c r="A35" s="11">
        <f t="shared" si="2"/>
        <v>3</v>
      </c>
      <c r="B35" s="76" t="s">
        <v>575</v>
      </c>
      <c r="C35" s="49" t="s">
        <v>576</v>
      </c>
      <c r="D35" s="50" t="s">
        <v>577</v>
      </c>
      <c r="E35" s="61">
        <v>3.0</v>
      </c>
      <c r="F35" s="61">
        <v>1.0</v>
      </c>
      <c r="G35" s="62" t="s">
        <v>578</v>
      </c>
    </row>
    <row r="36">
      <c r="A36" s="11">
        <f t="shared" si="2"/>
        <v>2</v>
      </c>
      <c r="B36" s="75">
        <v>44380.0</v>
      </c>
      <c r="C36" s="49" t="s">
        <v>243</v>
      </c>
      <c r="D36" s="50" t="s">
        <v>247</v>
      </c>
      <c r="E36" s="61">
        <v>2.0</v>
      </c>
      <c r="F36" s="61">
        <v>1.0</v>
      </c>
      <c r="G36" s="62" t="s">
        <v>579</v>
      </c>
    </row>
    <row r="37">
      <c r="A37" s="11">
        <v>6.0</v>
      </c>
      <c r="B37" s="75">
        <v>44350.0</v>
      </c>
      <c r="C37" s="49" t="s">
        <v>140</v>
      </c>
      <c r="D37" s="50" t="s">
        <v>23</v>
      </c>
      <c r="E37" s="61">
        <v>6.0</v>
      </c>
      <c r="F37" s="61">
        <v>1.0</v>
      </c>
      <c r="G37" s="62" t="s">
        <v>580</v>
      </c>
    </row>
    <row r="38">
      <c r="A38" s="11">
        <f t="shared" ref="A38:A41" si="3">E38*F38</f>
        <v>3</v>
      </c>
      <c r="B38" s="75">
        <v>44319.0</v>
      </c>
      <c r="C38" s="49" t="s">
        <v>111</v>
      </c>
      <c r="D38" s="50" t="s">
        <v>247</v>
      </c>
      <c r="E38" s="61">
        <v>3.0</v>
      </c>
      <c r="F38" s="61">
        <v>1.0</v>
      </c>
      <c r="G38" s="62" t="s">
        <v>581</v>
      </c>
    </row>
    <row r="39">
      <c r="A39" s="11">
        <f t="shared" si="3"/>
        <v>6</v>
      </c>
      <c r="B39" s="76" t="s">
        <v>582</v>
      </c>
      <c r="C39" s="49" t="s">
        <v>72</v>
      </c>
      <c r="D39" s="50" t="s">
        <v>18</v>
      </c>
      <c r="E39" s="61">
        <v>6.0</v>
      </c>
      <c r="F39" s="61">
        <v>1.0</v>
      </c>
      <c r="G39" s="62" t="s">
        <v>583</v>
      </c>
    </row>
    <row r="40">
      <c r="A40" s="11">
        <f t="shared" si="3"/>
        <v>2</v>
      </c>
      <c r="B40" s="69" t="s">
        <v>584</v>
      </c>
      <c r="C40" s="67" t="s">
        <v>29</v>
      </c>
      <c r="D40" s="68" t="s">
        <v>422</v>
      </c>
      <c r="E40" s="69">
        <v>2.0</v>
      </c>
      <c r="F40" s="69">
        <v>1.0</v>
      </c>
      <c r="G40" s="67" t="s">
        <v>585</v>
      </c>
    </row>
    <row r="41">
      <c r="A41" s="11">
        <f t="shared" si="3"/>
        <v>4</v>
      </c>
      <c r="B41" s="76" t="s">
        <v>586</v>
      </c>
      <c r="C41" s="49" t="s">
        <v>587</v>
      </c>
      <c r="D41" s="50" t="s">
        <v>435</v>
      </c>
      <c r="E41" s="61">
        <v>4.0</v>
      </c>
      <c r="F41" s="61">
        <v>1.0</v>
      </c>
      <c r="G41" s="62" t="s">
        <v>588</v>
      </c>
    </row>
    <row r="42">
      <c r="A42" s="11">
        <v>4.0</v>
      </c>
      <c r="B42" s="76" t="s">
        <v>589</v>
      </c>
      <c r="C42" s="49" t="s">
        <v>31</v>
      </c>
      <c r="D42" s="50" t="s">
        <v>42</v>
      </c>
      <c r="E42" s="61">
        <v>4.0</v>
      </c>
      <c r="F42" s="61">
        <v>1.0</v>
      </c>
      <c r="G42" s="62" t="s">
        <v>590</v>
      </c>
      <c r="H42" s="78"/>
      <c r="I42" s="78"/>
      <c r="J42" s="78"/>
      <c r="K42" s="78"/>
      <c r="L42" s="78"/>
      <c r="M42" s="78"/>
      <c r="N42" s="78"/>
      <c r="O42" s="78"/>
      <c r="P42" s="78"/>
      <c r="Q42" s="78"/>
      <c r="R42" s="78"/>
      <c r="S42" s="78"/>
      <c r="T42" s="78"/>
      <c r="U42" s="78"/>
      <c r="V42" s="78"/>
      <c r="W42" s="78"/>
      <c r="X42" s="78"/>
      <c r="Y42" s="78"/>
      <c r="Z42" s="78"/>
    </row>
    <row r="43">
      <c r="A43" s="11">
        <f>E43*F43</f>
        <v>3</v>
      </c>
      <c r="B43" s="51" t="s">
        <v>591</v>
      </c>
      <c r="C43" s="49" t="s">
        <v>243</v>
      </c>
      <c r="D43" s="50" t="s">
        <v>247</v>
      </c>
      <c r="E43" s="61">
        <v>3.0</v>
      </c>
      <c r="F43" s="61">
        <v>1.0</v>
      </c>
      <c r="G43" s="62" t="s">
        <v>592</v>
      </c>
    </row>
    <row r="44">
      <c r="A44" s="56"/>
      <c r="B44" s="79"/>
      <c r="C44" s="58"/>
      <c r="D44" s="59"/>
      <c r="E44" s="73"/>
      <c r="F44" s="73"/>
      <c r="G44" s="74"/>
    </row>
    <row r="45">
      <c r="B45" s="19"/>
      <c r="D45" s="18"/>
      <c r="E45" s="19"/>
      <c r="F45" s="19"/>
    </row>
    <row r="46">
      <c r="B46" s="19"/>
      <c r="D46" s="18"/>
      <c r="E46" s="19"/>
      <c r="F46" s="19"/>
    </row>
    <row r="47">
      <c r="B47" s="19"/>
      <c r="D47" s="18"/>
      <c r="E47" s="19"/>
      <c r="F47" s="19"/>
    </row>
    <row r="48">
      <c r="B48" s="19"/>
      <c r="D48" s="18"/>
      <c r="E48" s="19"/>
      <c r="F48" s="19"/>
    </row>
    <row r="49">
      <c r="B49" s="19"/>
      <c r="D49" s="18"/>
      <c r="E49" s="19"/>
      <c r="F49" s="19"/>
    </row>
    <row r="50">
      <c r="B50" s="19"/>
      <c r="D50" s="18"/>
      <c r="E50" s="19"/>
      <c r="F50" s="19"/>
    </row>
    <row r="51">
      <c r="B51" s="19"/>
      <c r="D51" s="18"/>
      <c r="E51" s="19"/>
      <c r="F51" s="19"/>
    </row>
    <row r="52">
      <c r="B52" s="19"/>
      <c r="D52" s="18"/>
      <c r="E52" s="19"/>
      <c r="F52" s="19"/>
    </row>
    <row r="53">
      <c r="B53" s="19"/>
      <c r="D53" s="18"/>
      <c r="E53" s="19"/>
      <c r="F53" s="19"/>
    </row>
    <row r="54">
      <c r="B54" s="19"/>
      <c r="D54" s="18"/>
      <c r="E54" s="19"/>
      <c r="F54" s="19"/>
    </row>
    <row r="55">
      <c r="B55" s="19"/>
      <c r="D55" s="18"/>
      <c r="E55" s="19"/>
      <c r="F55" s="19"/>
    </row>
    <row r="56">
      <c r="B56" s="19"/>
      <c r="D56" s="18"/>
      <c r="E56" s="19"/>
      <c r="F56" s="19"/>
    </row>
    <row r="57">
      <c r="B57" s="19"/>
      <c r="D57" s="18"/>
      <c r="E57" s="19"/>
      <c r="F57" s="19"/>
    </row>
    <row r="58">
      <c r="B58" s="19"/>
      <c r="D58" s="18"/>
      <c r="E58" s="19"/>
      <c r="F58" s="19"/>
    </row>
    <row r="59">
      <c r="B59" s="19"/>
      <c r="D59" s="18"/>
      <c r="E59" s="19"/>
      <c r="F59" s="19"/>
    </row>
    <row r="60">
      <c r="B60" s="19"/>
      <c r="D60" s="18"/>
      <c r="E60" s="19"/>
      <c r="F60" s="19"/>
    </row>
    <row r="61">
      <c r="B61" s="19"/>
      <c r="D61" s="18"/>
      <c r="E61" s="19"/>
      <c r="F61" s="19"/>
    </row>
    <row r="62">
      <c r="B62" s="19"/>
      <c r="D62" s="18"/>
      <c r="E62" s="19"/>
      <c r="F62" s="19"/>
    </row>
    <row r="63">
      <c r="B63" s="19"/>
      <c r="D63" s="18"/>
      <c r="E63" s="19"/>
      <c r="F63" s="19"/>
    </row>
    <row r="64">
      <c r="B64" s="19"/>
      <c r="D64" s="18"/>
      <c r="E64" s="19"/>
      <c r="F64" s="19"/>
    </row>
    <row r="65">
      <c r="B65" s="19"/>
      <c r="D65" s="18"/>
      <c r="E65" s="19"/>
      <c r="F65" s="19"/>
    </row>
    <row r="66">
      <c r="D66" s="18"/>
      <c r="E66" s="19"/>
      <c r="F66" s="19"/>
    </row>
    <row r="67">
      <c r="D67" s="18"/>
      <c r="E67" s="19"/>
      <c r="F67" s="19"/>
    </row>
    <row r="68">
      <c r="D68" s="18"/>
      <c r="E68" s="19"/>
      <c r="F68" s="19"/>
    </row>
    <row r="69">
      <c r="D69" s="18"/>
      <c r="E69" s="19"/>
      <c r="F69" s="19"/>
    </row>
    <row r="70">
      <c r="D70" s="18"/>
      <c r="E70" s="19"/>
      <c r="F70" s="19"/>
    </row>
    <row r="71">
      <c r="D71" s="18"/>
      <c r="E71" s="19"/>
      <c r="F71" s="19"/>
    </row>
    <row r="72">
      <c r="D72" s="18"/>
      <c r="E72" s="19"/>
      <c r="F72" s="19"/>
    </row>
    <row r="73">
      <c r="D73" s="18"/>
      <c r="E73" s="19"/>
      <c r="F73" s="19"/>
    </row>
    <row r="74">
      <c r="D74" s="18"/>
      <c r="E74" s="19"/>
      <c r="F74" s="19"/>
    </row>
    <row r="75">
      <c r="D75" s="18"/>
      <c r="E75" s="19"/>
      <c r="F75" s="19"/>
    </row>
    <row r="76">
      <c r="D76" s="18"/>
      <c r="E76" s="19"/>
      <c r="F76" s="19"/>
    </row>
    <row r="77">
      <c r="D77" s="18"/>
      <c r="E77" s="19"/>
      <c r="F77" s="19"/>
    </row>
    <row r="78">
      <c r="D78" s="18"/>
      <c r="E78" s="19"/>
      <c r="F78" s="19"/>
    </row>
    <row r="79">
      <c r="D79" s="18"/>
      <c r="E79" s="19"/>
      <c r="F79" s="19"/>
    </row>
    <row r="80">
      <c r="D80" s="18"/>
      <c r="E80" s="19"/>
      <c r="F80" s="19"/>
    </row>
    <row r="81">
      <c r="D81" s="18"/>
      <c r="E81" s="19"/>
      <c r="F81" s="19"/>
    </row>
    <row r="82">
      <c r="D82" s="18"/>
      <c r="E82" s="19"/>
      <c r="F82" s="19"/>
    </row>
    <row r="83">
      <c r="D83" s="18"/>
      <c r="E83" s="19"/>
      <c r="F83" s="19"/>
    </row>
    <row r="84">
      <c r="D84" s="18"/>
      <c r="E84" s="19"/>
      <c r="F84" s="19"/>
    </row>
    <row r="85">
      <c r="D85" s="18"/>
      <c r="E85" s="19"/>
      <c r="F85" s="19"/>
    </row>
    <row r="86">
      <c r="D86" s="18"/>
      <c r="E86" s="19"/>
      <c r="F86" s="19"/>
    </row>
    <row r="87">
      <c r="D87" s="18"/>
      <c r="E87" s="19"/>
      <c r="F87" s="19"/>
    </row>
    <row r="88">
      <c r="D88" s="18"/>
      <c r="E88" s="19"/>
      <c r="F88" s="19"/>
    </row>
    <row r="89">
      <c r="D89" s="18"/>
      <c r="E89" s="19"/>
      <c r="F89" s="19"/>
    </row>
    <row r="90">
      <c r="D90" s="18"/>
      <c r="E90" s="19"/>
      <c r="F90" s="19"/>
    </row>
    <row r="91">
      <c r="D91" s="18"/>
      <c r="E91" s="19"/>
      <c r="F91" s="19"/>
    </row>
    <row r="92">
      <c r="D92" s="18"/>
      <c r="E92" s="19"/>
      <c r="F92" s="19"/>
    </row>
    <row r="93">
      <c r="D93" s="18"/>
      <c r="E93" s="19"/>
      <c r="F93" s="19"/>
    </row>
    <row r="94">
      <c r="D94" s="18"/>
      <c r="E94" s="19"/>
      <c r="F94" s="19"/>
    </row>
    <row r="95">
      <c r="D95" s="18"/>
      <c r="E95" s="19"/>
      <c r="F95" s="19"/>
    </row>
    <row r="96">
      <c r="D96" s="18"/>
      <c r="E96" s="19"/>
      <c r="F96" s="19"/>
    </row>
    <row r="97">
      <c r="D97" s="18"/>
      <c r="E97" s="19"/>
      <c r="F97" s="19"/>
    </row>
    <row r="98">
      <c r="D98" s="18"/>
      <c r="E98" s="19"/>
      <c r="F98" s="19"/>
    </row>
    <row r="99">
      <c r="D99" s="18"/>
      <c r="E99" s="19"/>
      <c r="F99" s="19"/>
    </row>
    <row r="100">
      <c r="D100" s="18"/>
      <c r="E100" s="19"/>
      <c r="F100" s="19"/>
    </row>
    <row r="101">
      <c r="D101" s="18"/>
      <c r="E101" s="19"/>
      <c r="F101" s="19"/>
    </row>
    <row r="102">
      <c r="D102" s="18"/>
      <c r="E102" s="19"/>
      <c r="F102" s="19"/>
    </row>
    <row r="103">
      <c r="D103" s="18"/>
      <c r="E103" s="19"/>
      <c r="F103" s="19"/>
    </row>
    <row r="104">
      <c r="D104" s="18"/>
      <c r="E104" s="19"/>
      <c r="F104" s="19"/>
    </row>
    <row r="105">
      <c r="D105" s="18"/>
      <c r="E105" s="19"/>
      <c r="F105" s="19"/>
    </row>
    <row r="106">
      <c r="D106" s="18"/>
      <c r="E106" s="19"/>
      <c r="F106" s="19"/>
    </row>
    <row r="107">
      <c r="D107" s="18"/>
      <c r="E107" s="19"/>
      <c r="F107" s="19"/>
    </row>
    <row r="108">
      <c r="D108" s="18"/>
      <c r="E108" s="19"/>
      <c r="F108" s="19"/>
    </row>
    <row r="109">
      <c r="D109" s="18"/>
      <c r="E109" s="19"/>
      <c r="F109" s="19"/>
    </row>
    <row r="110">
      <c r="D110" s="18"/>
      <c r="E110" s="19"/>
      <c r="F110" s="19"/>
    </row>
    <row r="111">
      <c r="D111" s="18"/>
      <c r="E111" s="19"/>
      <c r="F111" s="19"/>
    </row>
    <row r="112">
      <c r="D112" s="18"/>
      <c r="E112" s="19"/>
      <c r="F112" s="19"/>
    </row>
    <row r="113">
      <c r="D113" s="18"/>
      <c r="E113" s="19"/>
      <c r="F113" s="19"/>
    </row>
    <row r="114">
      <c r="D114" s="18"/>
      <c r="E114" s="19"/>
      <c r="F114" s="19"/>
    </row>
    <row r="115">
      <c r="D115" s="18"/>
      <c r="E115" s="19"/>
      <c r="F115" s="19"/>
    </row>
    <row r="116">
      <c r="D116" s="18"/>
      <c r="E116" s="19"/>
      <c r="F116" s="19"/>
    </row>
    <row r="117">
      <c r="D117" s="18"/>
      <c r="E117" s="19"/>
      <c r="F117" s="19"/>
    </row>
    <row r="118">
      <c r="D118" s="18"/>
      <c r="E118" s="19"/>
      <c r="F118" s="19"/>
    </row>
    <row r="119">
      <c r="D119" s="18"/>
      <c r="E119" s="19"/>
      <c r="F119" s="19"/>
    </row>
    <row r="120">
      <c r="D120" s="18"/>
      <c r="E120" s="19"/>
      <c r="F120" s="19"/>
    </row>
    <row r="121">
      <c r="D121" s="18"/>
      <c r="E121" s="19"/>
      <c r="F121" s="19"/>
    </row>
    <row r="122">
      <c r="D122" s="18"/>
      <c r="E122" s="19"/>
      <c r="F122" s="19"/>
    </row>
    <row r="123">
      <c r="D123" s="18"/>
      <c r="E123" s="19"/>
      <c r="F123" s="19"/>
    </row>
    <row r="124">
      <c r="D124" s="18"/>
      <c r="E124" s="19"/>
      <c r="F124" s="19"/>
    </row>
    <row r="125">
      <c r="D125" s="18"/>
      <c r="E125" s="19"/>
      <c r="F125" s="19"/>
    </row>
    <row r="126">
      <c r="D126" s="18"/>
      <c r="E126" s="19"/>
      <c r="F126" s="19"/>
    </row>
    <row r="127">
      <c r="D127" s="18"/>
      <c r="E127" s="19"/>
      <c r="F127" s="19"/>
    </row>
    <row r="128">
      <c r="D128" s="18"/>
      <c r="E128" s="19"/>
      <c r="F128" s="19"/>
    </row>
    <row r="129">
      <c r="D129" s="18"/>
      <c r="E129" s="19"/>
      <c r="F129" s="19"/>
    </row>
    <row r="130">
      <c r="D130" s="18"/>
      <c r="E130" s="19"/>
      <c r="F130" s="19"/>
    </row>
    <row r="131">
      <c r="D131" s="18"/>
      <c r="E131" s="19"/>
      <c r="F131" s="19"/>
    </row>
    <row r="132">
      <c r="D132" s="18"/>
      <c r="E132" s="19"/>
      <c r="F132" s="19"/>
    </row>
    <row r="133">
      <c r="D133" s="18"/>
      <c r="E133" s="19"/>
      <c r="F133" s="19"/>
    </row>
    <row r="134">
      <c r="D134" s="18"/>
      <c r="E134" s="19"/>
      <c r="F134" s="19"/>
    </row>
    <row r="135">
      <c r="D135" s="18"/>
      <c r="E135" s="19"/>
      <c r="F135" s="19"/>
    </row>
    <row r="136">
      <c r="D136" s="18"/>
      <c r="E136" s="19"/>
      <c r="F136" s="19"/>
    </row>
    <row r="137">
      <c r="D137" s="18"/>
      <c r="E137" s="19"/>
      <c r="F137" s="19"/>
    </row>
    <row r="138">
      <c r="D138" s="18"/>
      <c r="E138" s="19"/>
      <c r="F138" s="19"/>
    </row>
    <row r="139">
      <c r="D139" s="18"/>
      <c r="E139" s="19"/>
      <c r="F139" s="19"/>
    </row>
    <row r="140">
      <c r="D140" s="18"/>
      <c r="E140" s="19"/>
      <c r="F140" s="19"/>
    </row>
    <row r="141">
      <c r="D141" s="18"/>
      <c r="E141" s="19"/>
      <c r="F141" s="19"/>
    </row>
    <row r="142">
      <c r="D142" s="18"/>
      <c r="E142" s="19"/>
      <c r="F142" s="19"/>
    </row>
    <row r="143">
      <c r="D143" s="18"/>
      <c r="E143" s="19"/>
      <c r="F143" s="19"/>
    </row>
    <row r="144">
      <c r="D144" s="18"/>
      <c r="E144" s="19"/>
      <c r="F144" s="19"/>
    </row>
    <row r="145">
      <c r="D145" s="18"/>
      <c r="E145" s="19"/>
      <c r="F145" s="19"/>
    </row>
    <row r="146">
      <c r="D146" s="18"/>
      <c r="E146" s="19"/>
      <c r="F146" s="19"/>
    </row>
    <row r="147">
      <c r="D147" s="18"/>
      <c r="E147" s="19"/>
      <c r="F147" s="19"/>
    </row>
    <row r="148">
      <c r="D148" s="18"/>
      <c r="E148" s="19"/>
      <c r="F148" s="19"/>
    </row>
    <row r="149">
      <c r="D149" s="18"/>
      <c r="E149" s="19"/>
      <c r="F149" s="19"/>
    </row>
    <row r="150">
      <c r="D150" s="18"/>
      <c r="E150" s="19"/>
      <c r="F150" s="19"/>
    </row>
    <row r="151">
      <c r="D151" s="18"/>
      <c r="E151" s="19"/>
      <c r="F151" s="19"/>
    </row>
    <row r="152">
      <c r="D152" s="18"/>
      <c r="E152" s="19"/>
      <c r="F152" s="19"/>
    </row>
    <row r="153">
      <c r="D153" s="18"/>
      <c r="E153" s="19"/>
      <c r="F153" s="19"/>
    </row>
    <row r="154">
      <c r="D154" s="18"/>
      <c r="E154" s="19"/>
      <c r="F154" s="19"/>
    </row>
    <row r="155">
      <c r="D155" s="18"/>
      <c r="E155" s="19"/>
      <c r="F155" s="19"/>
    </row>
    <row r="156">
      <c r="D156" s="18"/>
      <c r="E156" s="19"/>
      <c r="F156" s="19"/>
    </row>
    <row r="157">
      <c r="D157" s="18"/>
      <c r="E157" s="19"/>
      <c r="F157" s="19"/>
    </row>
    <row r="158">
      <c r="D158" s="18"/>
      <c r="E158" s="19"/>
      <c r="F158" s="19"/>
    </row>
    <row r="159">
      <c r="D159" s="18"/>
      <c r="E159" s="19"/>
      <c r="F159" s="19"/>
    </row>
    <row r="160">
      <c r="D160" s="18"/>
      <c r="E160" s="19"/>
      <c r="F160" s="19"/>
    </row>
    <row r="161">
      <c r="D161" s="18"/>
      <c r="E161" s="19"/>
      <c r="F161" s="19"/>
    </row>
    <row r="162">
      <c r="D162" s="18"/>
      <c r="E162" s="19"/>
      <c r="F162" s="19"/>
    </row>
    <row r="163">
      <c r="D163" s="18"/>
      <c r="E163" s="19"/>
      <c r="F163" s="19"/>
    </row>
    <row r="164">
      <c r="D164" s="18"/>
      <c r="E164" s="19"/>
      <c r="F164" s="19"/>
    </row>
    <row r="165">
      <c r="D165" s="18"/>
      <c r="E165" s="19"/>
      <c r="F165" s="19"/>
    </row>
    <row r="166">
      <c r="D166" s="18"/>
      <c r="E166" s="19"/>
      <c r="F166" s="19"/>
    </row>
    <row r="167">
      <c r="D167" s="18"/>
      <c r="E167" s="19"/>
      <c r="F167" s="19"/>
    </row>
    <row r="168">
      <c r="D168" s="18"/>
      <c r="E168" s="19"/>
      <c r="F168" s="19"/>
    </row>
    <row r="169">
      <c r="D169" s="18"/>
      <c r="E169" s="19"/>
      <c r="F169" s="19"/>
    </row>
    <row r="170">
      <c r="D170" s="18"/>
      <c r="E170" s="19"/>
      <c r="F170" s="19"/>
    </row>
    <row r="171">
      <c r="D171" s="18"/>
      <c r="E171" s="19"/>
      <c r="F171" s="19"/>
    </row>
    <row r="172">
      <c r="D172" s="18"/>
      <c r="E172" s="19"/>
      <c r="F172" s="19"/>
    </row>
    <row r="173">
      <c r="D173" s="18"/>
      <c r="E173" s="19"/>
      <c r="F173" s="19"/>
    </row>
    <row r="174">
      <c r="D174" s="18"/>
      <c r="E174" s="19"/>
      <c r="F174" s="19"/>
    </row>
    <row r="175">
      <c r="D175" s="18"/>
      <c r="E175" s="19"/>
      <c r="F175" s="19"/>
    </row>
    <row r="176">
      <c r="D176" s="18"/>
      <c r="E176" s="19"/>
      <c r="F176" s="19"/>
    </row>
    <row r="177">
      <c r="D177" s="18"/>
      <c r="E177" s="19"/>
      <c r="F177" s="19"/>
    </row>
    <row r="178">
      <c r="D178" s="18"/>
      <c r="E178" s="19"/>
      <c r="F178" s="19"/>
    </row>
    <row r="179">
      <c r="D179" s="18"/>
      <c r="E179" s="19"/>
      <c r="F179" s="19"/>
    </row>
    <row r="180">
      <c r="D180" s="18"/>
      <c r="E180" s="19"/>
      <c r="F180" s="19"/>
    </row>
    <row r="181">
      <c r="D181" s="18"/>
      <c r="E181" s="19"/>
      <c r="F181" s="19"/>
    </row>
    <row r="182">
      <c r="D182" s="18"/>
      <c r="E182" s="19"/>
      <c r="F182" s="19"/>
    </row>
    <row r="183">
      <c r="D183" s="18"/>
      <c r="E183" s="19"/>
      <c r="F183" s="19"/>
    </row>
    <row r="184">
      <c r="D184" s="18"/>
      <c r="E184" s="19"/>
      <c r="F184" s="19"/>
    </row>
    <row r="185">
      <c r="D185" s="18"/>
      <c r="E185" s="19"/>
      <c r="F185" s="19"/>
    </row>
    <row r="186">
      <c r="D186" s="18"/>
      <c r="E186" s="19"/>
      <c r="F186" s="19"/>
    </row>
    <row r="187">
      <c r="D187" s="18"/>
      <c r="E187" s="19"/>
      <c r="F187" s="19"/>
    </row>
    <row r="188">
      <c r="D188" s="18"/>
      <c r="E188" s="19"/>
      <c r="F188" s="19"/>
    </row>
    <row r="189">
      <c r="D189" s="18"/>
      <c r="E189" s="19"/>
      <c r="F189" s="19"/>
    </row>
    <row r="190">
      <c r="D190" s="18"/>
      <c r="E190" s="19"/>
      <c r="F190" s="19"/>
    </row>
    <row r="191">
      <c r="D191" s="18"/>
      <c r="E191" s="19"/>
      <c r="F191" s="19"/>
    </row>
    <row r="192">
      <c r="D192" s="18"/>
      <c r="E192" s="19"/>
      <c r="F192" s="19"/>
    </row>
    <row r="193">
      <c r="D193" s="18"/>
      <c r="E193" s="19"/>
      <c r="F193" s="19"/>
    </row>
    <row r="194">
      <c r="D194" s="18"/>
      <c r="E194" s="19"/>
      <c r="F194" s="19"/>
    </row>
    <row r="195">
      <c r="D195" s="18"/>
      <c r="E195" s="19"/>
      <c r="F195" s="19"/>
    </row>
    <row r="196">
      <c r="D196" s="18"/>
      <c r="E196" s="19"/>
      <c r="F196" s="19"/>
    </row>
    <row r="197">
      <c r="D197" s="18"/>
      <c r="E197" s="19"/>
      <c r="F197" s="19"/>
    </row>
    <row r="198">
      <c r="D198" s="18"/>
      <c r="E198" s="19"/>
      <c r="F198" s="19"/>
    </row>
    <row r="199">
      <c r="D199" s="18"/>
      <c r="E199" s="19"/>
      <c r="F199" s="19"/>
    </row>
    <row r="200">
      <c r="D200" s="18"/>
      <c r="E200" s="19"/>
      <c r="F200" s="19"/>
    </row>
    <row r="201">
      <c r="D201" s="18"/>
      <c r="E201" s="19"/>
      <c r="F201" s="19"/>
    </row>
    <row r="202">
      <c r="D202" s="18"/>
      <c r="E202" s="19"/>
      <c r="F202" s="19"/>
    </row>
    <row r="203">
      <c r="D203" s="18"/>
      <c r="E203" s="19"/>
      <c r="F203" s="19"/>
    </row>
    <row r="204">
      <c r="D204" s="18"/>
      <c r="E204" s="19"/>
      <c r="F204" s="19"/>
    </row>
    <row r="205">
      <c r="D205" s="18"/>
      <c r="E205" s="19"/>
      <c r="F205" s="19"/>
    </row>
    <row r="206">
      <c r="D206" s="18"/>
      <c r="E206" s="19"/>
      <c r="F206" s="19"/>
    </row>
    <row r="207">
      <c r="D207" s="18"/>
      <c r="E207" s="19"/>
      <c r="F207" s="19"/>
    </row>
    <row r="208">
      <c r="D208" s="18"/>
      <c r="E208" s="19"/>
      <c r="F208" s="19"/>
    </row>
    <row r="209">
      <c r="D209" s="18"/>
      <c r="E209" s="19"/>
      <c r="F209" s="19"/>
    </row>
    <row r="210">
      <c r="D210" s="18"/>
      <c r="E210" s="19"/>
      <c r="F210" s="19"/>
    </row>
    <row r="211">
      <c r="D211" s="18"/>
      <c r="E211" s="19"/>
      <c r="F211" s="19"/>
    </row>
    <row r="212">
      <c r="D212" s="18"/>
      <c r="E212" s="19"/>
      <c r="F212" s="19"/>
    </row>
    <row r="213">
      <c r="D213" s="18"/>
      <c r="E213" s="19"/>
      <c r="F213" s="19"/>
    </row>
    <row r="214">
      <c r="D214" s="18"/>
      <c r="E214" s="19"/>
      <c r="F214" s="19"/>
    </row>
    <row r="215">
      <c r="D215" s="18"/>
      <c r="E215" s="19"/>
      <c r="F215" s="19"/>
    </row>
    <row r="216">
      <c r="D216" s="18"/>
      <c r="E216" s="19"/>
      <c r="F216" s="19"/>
    </row>
    <row r="217">
      <c r="D217" s="18"/>
      <c r="E217" s="19"/>
      <c r="F217" s="19"/>
    </row>
    <row r="218">
      <c r="D218" s="18"/>
      <c r="E218" s="19"/>
      <c r="F218" s="19"/>
    </row>
    <row r="219">
      <c r="D219" s="18"/>
      <c r="E219" s="19"/>
      <c r="F219" s="19"/>
    </row>
    <row r="220">
      <c r="D220" s="18"/>
      <c r="E220" s="19"/>
      <c r="F220" s="19"/>
    </row>
    <row r="221">
      <c r="D221" s="18"/>
      <c r="E221" s="19"/>
      <c r="F221" s="19"/>
    </row>
    <row r="222">
      <c r="D222" s="18"/>
      <c r="E222" s="19"/>
      <c r="F222" s="19"/>
    </row>
    <row r="223">
      <c r="D223" s="18"/>
      <c r="E223" s="19"/>
      <c r="F223" s="19"/>
    </row>
    <row r="224">
      <c r="D224" s="18"/>
      <c r="E224" s="19"/>
      <c r="F224" s="19"/>
    </row>
    <row r="225">
      <c r="D225" s="18"/>
      <c r="E225" s="19"/>
      <c r="F225" s="19"/>
    </row>
    <row r="226">
      <c r="D226" s="18"/>
      <c r="E226" s="19"/>
      <c r="F226" s="19"/>
    </row>
    <row r="227">
      <c r="D227" s="18"/>
      <c r="E227" s="19"/>
      <c r="F227" s="19"/>
    </row>
    <row r="228">
      <c r="D228" s="18"/>
      <c r="E228" s="19"/>
      <c r="F228" s="19"/>
    </row>
    <row r="229">
      <c r="D229" s="18"/>
      <c r="E229" s="19"/>
      <c r="F229" s="19"/>
    </row>
    <row r="230">
      <c r="D230" s="18"/>
      <c r="E230" s="19"/>
      <c r="F230" s="19"/>
    </row>
    <row r="231">
      <c r="D231" s="18"/>
      <c r="E231" s="19"/>
      <c r="F231" s="19"/>
    </row>
    <row r="232">
      <c r="D232" s="18"/>
      <c r="E232" s="19"/>
      <c r="F232" s="19"/>
    </row>
    <row r="233">
      <c r="D233" s="18"/>
      <c r="E233" s="19"/>
      <c r="F233" s="19"/>
    </row>
    <row r="234">
      <c r="D234" s="18"/>
      <c r="E234" s="19"/>
      <c r="F234" s="19"/>
    </row>
    <row r="235">
      <c r="D235" s="18"/>
      <c r="E235" s="19"/>
      <c r="F235" s="19"/>
    </row>
    <row r="236">
      <c r="D236" s="18"/>
      <c r="E236" s="19"/>
      <c r="F236" s="19"/>
    </row>
    <row r="237">
      <c r="D237" s="18"/>
      <c r="E237" s="19"/>
      <c r="F237" s="19"/>
    </row>
    <row r="238">
      <c r="D238" s="18"/>
      <c r="E238" s="19"/>
      <c r="F238" s="19"/>
    </row>
    <row r="239">
      <c r="D239" s="18"/>
      <c r="E239" s="19"/>
      <c r="F239" s="19"/>
    </row>
    <row r="240">
      <c r="D240" s="18"/>
      <c r="E240" s="19"/>
      <c r="F240" s="19"/>
    </row>
    <row r="241">
      <c r="D241" s="18"/>
      <c r="E241" s="19"/>
      <c r="F241" s="19"/>
    </row>
    <row r="242">
      <c r="D242" s="18"/>
      <c r="E242" s="19"/>
      <c r="F242" s="19"/>
    </row>
    <row r="243">
      <c r="D243" s="18"/>
      <c r="E243" s="19"/>
      <c r="F243" s="19"/>
    </row>
    <row r="244">
      <c r="D244" s="18"/>
      <c r="E244" s="19"/>
      <c r="F244" s="19"/>
    </row>
    <row r="245">
      <c r="D245" s="18"/>
      <c r="E245" s="19"/>
      <c r="F245" s="19"/>
    </row>
    <row r="246">
      <c r="D246" s="18"/>
      <c r="E246" s="19"/>
      <c r="F246" s="19"/>
    </row>
    <row r="247">
      <c r="D247" s="18"/>
      <c r="E247" s="19"/>
      <c r="F247" s="19"/>
    </row>
    <row r="248">
      <c r="D248" s="18"/>
      <c r="E248" s="19"/>
      <c r="F248" s="19"/>
    </row>
    <row r="249">
      <c r="D249" s="18"/>
      <c r="E249" s="19"/>
      <c r="F249" s="19"/>
    </row>
    <row r="250">
      <c r="D250" s="18"/>
      <c r="E250" s="19"/>
      <c r="F250" s="19"/>
    </row>
    <row r="251">
      <c r="D251" s="18"/>
      <c r="E251" s="19"/>
      <c r="F251" s="19"/>
    </row>
    <row r="252">
      <c r="D252" s="18"/>
      <c r="E252" s="19"/>
      <c r="F252" s="19"/>
    </row>
    <row r="253">
      <c r="D253" s="18"/>
      <c r="E253" s="19"/>
      <c r="F253" s="19"/>
    </row>
    <row r="254">
      <c r="D254" s="18"/>
      <c r="E254" s="19"/>
      <c r="F254" s="19"/>
    </row>
    <row r="255">
      <c r="D255" s="18"/>
      <c r="E255" s="19"/>
      <c r="F255" s="19"/>
    </row>
    <row r="256">
      <c r="D256" s="18"/>
      <c r="E256" s="19"/>
      <c r="F256" s="19"/>
    </row>
    <row r="257">
      <c r="D257" s="18"/>
      <c r="E257" s="19"/>
      <c r="F257" s="19"/>
    </row>
    <row r="258">
      <c r="D258" s="18"/>
      <c r="E258" s="19"/>
      <c r="F258" s="19"/>
    </row>
    <row r="259">
      <c r="D259" s="18"/>
      <c r="E259" s="19"/>
      <c r="F259" s="19"/>
    </row>
    <row r="260">
      <c r="D260" s="18"/>
      <c r="E260" s="19"/>
      <c r="F260" s="19"/>
    </row>
    <row r="261">
      <c r="D261" s="18"/>
      <c r="E261" s="19"/>
      <c r="F261" s="19"/>
    </row>
    <row r="262">
      <c r="D262" s="18"/>
      <c r="E262" s="19"/>
      <c r="F262" s="19"/>
    </row>
    <row r="263">
      <c r="D263" s="18"/>
      <c r="E263" s="19"/>
      <c r="F263" s="19"/>
    </row>
    <row r="264">
      <c r="D264" s="18"/>
      <c r="E264" s="19"/>
      <c r="F264" s="19"/>
    </row>
    <row r="265">
      <c r="D265" s="18"/>
      <c r="E265" s="19"/>
      <c r="F265" s="19"/>
    </row>
    <row r="266">
      <c r="D266" s="18"/>
      <c r="E266" s="19"/>
      <c r="F266" s="19"/>
    </row>
    <row r="267">
      <c r="D267" s="18"/>
      <c r="E267" s="19"/>
      <c r="F267" s="19"/>
    </row>
    <row r="268">
      <c r="D268" s="18"/>
      <c r="E268" s="19"/>
      <c r="F268" s="19"/>
    </row>
    <row r="269">
      <c r="D269" s="18"/>
      <c r="E269" s="19"/>
      <c r="F269" s="19"/>
    </row>
    <row r="270">
      <c r="D270" s="18"/>
      <c r="E270" s="19"/>
      <c r="F270" s="19"/>
    </row>
    <row r="271">
      <c r="D271" s="18"/>
      <c r="E271" s="19"/>
      <c r="F271" s="19"/>
    </row>
    <row r="272">
      <c r="D272" s="18"/>
      <c r="E272" s="19"/>
      <c r="F272" s="19"/>
    </row>
    <row r="273">
      <c r="D273" s="18"/>
      <c r="E273" s="19"/>
      <c r="F273" s="19"/>
    </row>
    <row r="274">
      <c r="D274" s="18"/>
      <c r="E274" s="19"/>
      <c r="F274" s="19"/>
    </row>
    <row r="275">
      <c r="D275" s="18"/>
      <c r="E275" s="19"/>
      <c r="F275" s="19"/>
    </row>
    <row r="276">
      <c r="D276" s="18"/>
      <c r="E276" s="19"/>
      <c r="F276" s="19"/>
    </row>
    <row r="277">
      <c r="D277" s="18"/>
      <c r="E277" s="19"/>
      <c r="F277" s="19"/>
    </row>
    <row r="278">
      <c r="D278" s="18"/>
      <c r="E278" s="19"/>
      <c r="F278" s="19"/>
    </row>
    <row r="279">
      <c r="D279" s="18"/>
      <c r="E279" s="19"/>
      <c r="F279" s="19"/>
    </row>
    <row r="280">
      <c r="D280" s="18"/>
      <c r="E280" s="19"/>
      <c r="F280" s="19"/>
    </row>
    <row r="281">
      <c r="D281" s="18"/>
      <c r="E281" s="19"/>
      <c r="F281" s="19"/>
    </row>
    <row r="282">
      <c r="D282" s="18"/>
      <c r="E282" s="19"/>
      <c r="F282" s="19"/>
    </row>
    <row r="283">
      <c r="D283" s="18"/>
      <c r="E283" s="19"/>
      <c r="F283" s="19"/>
    </row>
    <row r="284">
      <c r="D284" s="18"/>
      <c r="E284" s="19"/>
      <c r="F284" s="19"/>
    </row>
    <row r="285">
      <c r="D285" s="18"/>
      <c r="E285" s="19"/>
      <c r="F285" s="19"/>
    </row>
    <row r="286">
      <c r="D286" s="18"/>
      <c r="E286" s="19"/>
      <c r="F286" s="19"/>
    </row>
    <row r="287">
      <c r="D287" s="18"/>
      <c r="E287" s="19"/>
      <c r="F287" s="19"/>
    </row>
    <row r="288">
      <c r="D288" s="18"/>
      <c r="E288" s="19"/>
      <c r="F288" s="19"/>
    </row>
    <row r="289">
      <c r="D289" s="18"/>
      <c r="E289" s="19"/>
      <c r="F289" s="19"/>
    </row>
    <row r="290">
      <c r="D290" s="18"/>
      <c r="E290" s="19"/>
      <c r="F290" s="19"/>
    </row>
    <row r="291">
      <c r="D291" s="18"/>
      <c r="E291" s="19"/>
      <c r="F291" s="19"/>
    </row>
    <row r="292">
      <c r="D292" s="18"/>
      <c r="E292" s="19"/>
      <c r="F292" s="19"/>
    </row>
    <row r="293">
      <c r="D293" s="18"/>
      <c r="E293" s="19"/>
      <c r="F293" s="19"/>
    </row>
    <row r="294">
      <c r="D294" s="18"/>
      <c r="E294" s="19"/>
      <c r="F294" s="19"/>
    </row>
    <row r="295">
      <c r="D295" s="18"/>
      <c r="E295" s="19"/>
      <c r="F295" s="19"/>
    </row>
    <row r="296">
      <c r="D296" s="18"/>
      <c r="E296" s="19"/>
      <c r="F296" s="19"/>
    </row>
    <row r="297">
      <c r="D297" s="18"/>
      <c r="E297" s="19"/>
      <c r="F297" s="19"/>
    </row>
    <row r="298">
      <c r="D298" s="18"/>
      <c r="E298" s="19"/>
      <c r="F298" s="19"/>
    </row>
    <row r="299">
      <c r="D299" s="18"/>
      <c r="E299" s="19"/>
      <c r="F299" s="19"/>
    </row>
    <row r="300">
      <c r="D300" s="18"/>
      <c r="E300" s="19"/>
      <c r="F300" s="19"/>
    </row>
    <row r="301">
      <c r="D301" s="18"/>
      <c r="E301" s="19"/>
      <c r="F301" s="19"/>
    </row>
    <row r="302">
      <c r="D302" s="18"/>
      <c r="E302" s="19"/>
      <c r="F302" s="19"/>
    </row>
    <row r="303">
      <c r="D303" s="18"/>
      <c r="E303" s="19"/>
      <c r="F303" s="19"/>
    </row>
    <row r="304">
      <c r="D304" s="18"/>
      <c r="E304" s="19"/>
      <c r="F304" s="19"/>
    </row>
    <row r="305">
      <c r="D305" s="18"/>
      <c r="E305" s="19"/>
      <c r="F305" s="19"/>
    </row>
    <row r="306">
      <c r="D306" s="18"/>
      <c r="E306" s="19"/>
      <c r="F306" s="19"/>
    </row>
    <row r="307">
      <c r="D307" s="18"/>
      <c r="E307" s="19"/>
      <c r="F307" s="19"/>
    </row>
    <row r="308">
      <c r="D308" s="18"/>
      <c r="E308" s="19"/>
      <c r="F308" s="19"/>
    </row>
    <row r="309">
      <c r="D309" s="18"/>
      <c r="E309" s="19"/>
      <c r="F309" s="19"/>
    </row>
    <row r="310">
      <c r="D310" s="18"/>
      <c r="E310" s="19"/>
      <c r="F310" s="19"/>
    </row>
    <row r="311">
      <c r="D311" s="18"/>
      <c r="E311" s="19"/>
      <c r="F311" s="19"/>
    </row>
    <row r="312">
      <c r="D312" s="18"/>
      <c r="E312" s="19"/>
      <c r="F312" s="19"/>
    </row>
    <row r="313">
      <c r="D313" s="18"/>
      <c r="E313" s="19"/>
      <c r="F313" s="19"/>
    </row>
    <row r="314">
      <c r="D314" s="18"/>
      <c r="E314" s="19"/>
      <c r="F314" s="19"/>
    </row>
    <row r="315">
      <c r="D315" s="18"/>
      <c r="E315" s="19"/>
      <c r="F315" s="19"/>
    </row>
    <row r="316">
      <c r="D316" s="18"/>
      <c r="E316" s="19"/>
      <c r="F316" s="19"/>
    </row>
    <row r="317">
      <c r="D317" s="18"/>
      <c r="E317" s="19"/>
      <c r="F317" s="19"/>
    </row>
    <row r="318">
      <c r="D318" s="18"/>
      <c r="E318" s="19"/>
      <c r="F318" s="19"/>
    </row>
    <row r="319">
      <c r="D319" s="18"/>
      <c r="E319" s="19"/>
      <c r="F319" s="19"/>
    </row>
    <row r="320">
      <c r="D320" s="18"/>
      <c r="E320" s="19"/>
      <c r="F320" s="19"/>
    </row>
    <row r="321">
      <c r="D321" s="18"/>
      <c r="E321" s="19"/>
      <c r="F321" s="19"/>
    </row>
    <row r="322">
      <c r="D322" s="18"/>
      <c r="E322" s="19"/>
      <c r="F322" s="19"/>
    </row>
    <row r="323">
      <c r="D323" s="18"/>
      <c r="E323" s="19"/>
      <c r="F323" s="19"/>
    </row>
    <row r="324">
      <c r="D324" s="18"/>
      <c r="E324" s="19"/>
      <c r="F324" s="19"/>
    </row>
    <row r="325">
      <c r="D325" s="18"/>
      <c r="E325" s="19"/>
      <c r="F325" s="19"/>
    </row>
    <row r="326">
      <c r="D326" s="18"/>
      <c r="E326" s="19"/>
      <c r="F326" s="19"/>
    </row>
    <row r="327">
      <c r="D327" s="18"/>
      <c r="E327" s="19"/>
      <c r="F327" s="19"/>
    </row>
    <row r="328">
      <c r="D328" s="18"/>
      <c r="E328" s="19"/>
      <c r="F328" s="19"/>
    </row>
    <row r="329">
      <c r="D329" s="18"/>
      <c r="E329" s="19"/>
      <c r="F329" s="19"/>
    </row>
    <row r="330">
      <c r="D330" s="18"/>
      <c r="E330" s="19"/>
      <c r="F330" s="19"/>
    </row>
    <row r="331">
      <c r="D331" s="18"/>
      <c r="E331" s="19"/>
      <c r="F331" s="19"/>
    </row>
    <row r="332">
      <c r="D332" s="18"/>
      <c r="E332" s="19"/>
      <c r="F332" s="19"/>
    </row>
    <row r="333">
      <c r="D333" s="18"/>
      <c r="E333" s="19"/>
      <c r="F333" s="19"/>
    </row>
    <row r="334">
      <c r="D334" s="18"/>
      <c r="E334" s="19"/>
      <c r="F334" s="19"/>
    </row>
    <row r="335">
      <c r="D335" s="18"/>
      <c r="E335" s="19"/>
      <c r="F335" s="19"/>
    </row>
    <row r="336">
      <c r="D336" s="18"/>
      <c r="E336" s="19"/>
      <c r="F336" s="19"/>
    </row>
    <row r="337">
      <c r="D337" s="18"/>
      <c r="E337" s="19"/>
      <c r="F337" s="19"/>
    </row>
    <row r="338">
      <c r="D338" s="18"/>
      <c r="E338" s="19"/>
      <c r="F338" s="19"/>
    </row>
    <row r="339">
      <c r="D339" s="18"/>
      <c r="E339" s="19"/>
      <c r="F339" s="19"/>
    </row>
    <row r="340">
      <c r="D340" s="18"/>
      <c r="E340" s="19"/>
      <c r="F340" s="19"/>
    </row>
    <row r="341">
      <c r="D341" s="18"/>
      <c r="E341" s="19"/>
      <c r="F341" s="19"/>
    </row>
    <row r="342">
      <c r="D342" s="18"/>
      <c r="E342" s="19"/>
      <c r="F342" s="19"/>
    </row>
    <row r="343">
      <c r="D343" s="18"/>
      <c r="E343" s="19"/>
      <c r="F343" s="19"/>
    </row>
    <row r="344">
      <c r="D344" s="18"/>
      <c r="E344" s="19"/>
      <c r="F344" s="19"/>
    </row>
    <row r="345">
      <c r="D345" s="18"/>
      <c r="E345" s="19"/>
      <c r="F345" s="19"/>
    </row>
    <row r="346">
      <c r="D346" s="18"/>
      <c r="E346" s="19"/>
      <c r="F346" s="19"/>
    </row>
    <row r="347">
      <c r="D347" s="18"/>
      <c r="E347" s="19"/>
      <c r="F347" s="19"/>
    </row>
    <row r="348">
      <c r="D348" s="18"/>
      <c r="E348" s="19"/>
      <c r="F348" s="19"/>
    </row>
    <row r="349">
      <c r="D349" s="18"/>
      <c r="E349" s="19"/>
      <c r="F349" s="19"/>
    </row>
    <row r="350">
      <c r="D350" s="18"/>
      <c r="E350" s="19"/>
      <c r="F350" s="19"/>
    </row>
    <row r="351">
      <c r="D351" s="18"/>
      <c r="E351" s="19"/>
      <c r="F351" s="19"/>
    </row>
    <row r="352">
      <c r="D352" s="18"/>
      <c r="E352" s="19"/>
      <c r="F352" s="19"/>
    </row>
    <row r="353">
      <c r="D353" s="18"/>
      <c r="E353" s="19"/>
      <c r="F353" s="19"/>
    </row>
    <row r="354">
      <c r="D354" s="18"/>
      <c r="E354" s="19"/>
      <c r="F354" s="19"/>
    </row>
    <row r="355">
      <c r="D355" s="18"/>
      <c r="E355" s="19"/>
      <c r="F355" s="19"/>
    </row>
    <row r="356">
      <c r="D356" s="18"/>
      <c r="E356" s="19"/>
      <c r="F356" s="19"/>
    </row>
    <row r="357">
      <c r="D357" s="18"/>
      <c r="E357" s="19"/>
      <c r="F357" s="19"/>
    </row>
    <row r="358">
      <c r="D358" s="18"/>
      <c r="E358" s="19"/>
      <c r="F358" s="19"/>
    </row>
    <row r="359">
      <c r="D359" s="18"/>
      <c r="E359" s="19"/>
      <c r="F359" s="19"/>
    </row>
    <row r="360">
      <c r="D360" s="18"/>
      <c r="E360" s="19"/>
      <c r="F360" s="19"/>
    </row>
    <row r="361">
      <c r="D361" s="18"/>
      <c r="E361" s="19"/>
      <c r="F361" s="19"/>
    </row>
    <row r="362">
      <c r="D362" s="18"/>
      <c r="E362" s="19"/>
      <c r="F362" s="19"/>
    </row>
    <row r="363">
      <c r="D363" s="18"/>
      <c r="E363" s="19"/>
      <c r="F363" s="19"/>
    </row>
    <row r="364">
      <c r="D364" s="18"/>
      <c r="E364" s="19"/>
      <c r="F364" s="19"/>
    </row>
    <row r="365">
      <c r="D365" s="18"/>
      <c r="E365" s="19"/>
      <c r="F365" s="19"/>
    </row>
    <row r="366">
      <c r="D366" s="18"/>
      <c r="E366" s="19"/>
      <c r="F366" s="19"/>
    </row>
    <row r="367">
      <c r="D367" s="18"/>
      <c r="E367" s="19"/>
      <c r="F367" s="19"/>
    </row>
    <row r="368">
      <c r="D368" s="18"/>
      <c r="E368" s="19"/>
      <c r="F368" s="19"/>
    </row>
    <row r="369">
      <c r="D369" s="18"/>
      <c r="E369" s="19"/>
      <c r="F369" s="19"/>
    </row>
    <row r="370">
      <c r="D370" s="18"/>
      <c r="E370" s="19"/>
      <c r="F370" s="19"/>
    </row>
    <row r="371">
      <c r="D371" s="18"/>
      <c r="E371" s="19"/>
      <c r="F371" s="19"/>
    </row>
    <row r="372">
      <c r="D372" s="18"/>
      <c r="E372" s="19"/>
      <c r="F372" s="19"/>
    </row>
    <row r="373">
      <c r="D373" s="18"/>
      <c r="E373" s="19"/>
      <c r="F373" s="19"/>
    </row>
    <row r="374">
      <c r="D374" s="18"/>
      <c r="E374" s="19"/>
      <c r="F374" s="19"/>
    </row>
    <row r="375">
      <c r="D375" s="18"/>
      <c r="E375" s="19"/>
      <c r="F375" s="19"/>
    </row>
    <row r="376">
      <c r="D376" s="18"/>
      <c r="E376" s="19"/>
      <c r="F376" s="19"/>
    </row>
    <row r="377">
      <c r="D377" s="18"/>
      <c r="E377" s="19"/>
      <c r="F377" s="19"/>
    </row>
    <row r="378">
      <c r="D378" s="18"/>
      <c r="E378" s="19"/>
      <c r="F378" s="19"/>
    </row>
    <row r="379">
      <c r="D379" s="18"/>
      <c r="E379" s="19"/>
      <c r="F379" s="19"/>
    </row>
    <row r="380">
      <c r="D380" s="18"/>
      <c r="E380" s="19"/>
      <c r="F380" s="19"/>
    </row>
    <row r="381">
      <c r="D381" s="18"/>
      <c r="E381" s="19"/>
      <c r="F381" s="19"/>
    </row>
    <row r="382">
      <c r="D382" s="18"/>
      <c r="E382" s="19"/>
      <c r="F382" s="19"/>
    </row>
    <row r="383">
      <c r="D383" s="18"/>
      <c r="E383" s="19"/>
      <c r="F383" s="19"/>
    </row>
    <row r="384">
      <c r="D384" s="18"/>
      <c r="E384" s="19"/>
      <c r="F384" s="19"/>
    </row>
    <row r="385">
      <c r="D385" s="18"/>
      <c r="E385" s="19"/>
      <c r="F385" s="19"/>
    </row>
    <row r="386">
      <c r="D386" s="18"/>
      <c r="E386" s="19"/>
      <c r="F386" s="19"/>
    </row>
    <row r="387">
      <c r="D387" s="18"/>
      <c r="E387" s="19"/>
      <c r="F387" s="19"/>
    </row>
    <row r="388">
      <c r="D388" s="18"/>
      <c r="E388" s="19"/>
      <c r="F388" s="19"/>
    </row>
    <row r="389">
      <c r="D389" s="18"/>
      <c r="E389" s="19"/>
      <c r="F389" s="19"/>
    </row>
    <row r="390">
      <c r="D390" s="18"/>
      <c r="E390" s="19"/>
      <c r="F390" s="19"/>
    </row>
    <row r="391">
      <c r="D391" s="18"/>
      <c r="E391" s="19"/>
      <c r="F391" s="19"/>
    </row>
    <row r="392">
      <c r="D392" s="18"/>
      <c r="E392" s="19"/>
      <c r="F392" s="19"/>
    </row>
    <row r="393">
      <c r="D393" s="18"/>
      <c r="E393" s="19"/>
      <c r="F393" s="19"/>
    </row>
    <row r="394">
      <c r="D394" s="18"/>
      <c r="E394" s="19"/>
      <c r="F394" s="19"/>
    </row>
    <row r="395">
      <c r="D395" s="18"/>
      <c r="E395" s="19"/>
      <c r="F395" s="19"/>
    </row>
    <row r="396">
      <c r="D396" s="18"/>
      <c r="E396" s="19"/>
      <c r="F396" s="19"/>
    </row>
    <row r="397">
      <c r="D397" s="18"/>
      <c r="E397" s="19"/>
      <c r="F397" s="19"/>
    </row>
    <row r="398">
      <c r="D398" s="18"/>
      <c r="E398" s="19"/>
      <c r="F398" s="19"/>
    </row>
    <row r="399">
      <c r="D399" s="18"/>
      <c r="E399" s="19"/>
      <c r="F399" s="19"/>
    </row>
    <row r="400">
      <c r="D400" s="18"/>
      <c r="E400" s="19"/>
      <c r="F400" s="19"/>
    </row>
    <row r="401">
      <c r="D401" s="18"/>
      <c r="E401" s="19"/>
      <c r="F401" s="19"/>
    </row>
    <row r="402">
      <c r="D402" s="18"/>
      <c r="E402" s="19"/>
      <c r="F402" s="19"/>
    </row>
    <row r="403">
      <c r="D403" s="18"/>
      <c r="E403" s="19"/>
      <c r="F403" s="19"/>
    </row>
    <row r="404">
      <c r="D404" s="18"/>
      <c r="E404" s="19"/>
      <c r="F404" s="19"/>
    </row>
    <row r="405">
      <c r="D405" s="18"/>
      <c r="E405" s="19"/>
      <c r="F405" s="19"/>
    </row>
    <row r="406">
      <c r="D406" s="18"/>
      <c r="E406" s="19"/>
      <c r="F406" s="19"/>
    </row>
    <row r="407">
      <c r="D407" s="18"/>
      <c r="E407" s="19"/>
      <c r="F407" s="19"/>
    </row>
    <row r="408">
      <c r="D408" s="18"/>
      <c r="E408" s="19"/>
      <c r="F408" s="19"/>
    </row>
    <row r="409">
      <c r="D409" s="18"/>
      <c r="E409" s="19"/>
      <c r="F409" s="19"/>
    </row>
    <row r="410">
      <c r="D410" s="18"/>
      <c r="E410" s="19"/>
      <c r="F410" s="19"/>
    </row>
    <row r="411">
      <c r="D411" s="18"/>
      <c r="E411" s="19"/>
      <c r="F411" s="19"/>
    </row>
    <row r="412">
      <c r="D412" s="18"/>
      <c r="E412" s="19"/>
      <c r="F412" s="19"/>
    </row>
    <row r="413">
      <c r="D413" s="18"/>
      <c r="E413" s="19"/>
      <c r="F413" s="19"/>
    </row>
    <row r="414">
      <c r="D414" s="18"/>
      <c r="E414" s="19"/>
      <c r="F414" s="19"/>
    </row>
    <row r="415">
      <c r="D415" s="18"/>
      <c r="E415" s="19"/>
      <c r="F415" s="19"/>
    </row>
    <row r="416">
      <c r="D416" s="18"/>
      <c r="E416" s="19"/>
      <c r="F416" s="19"/>
    </row>
    <row r="417">
      <c r="D417" s="18"/>
      <c r="E417" s="19"/>
      <c r="F417" s="19"/>
    </row>
    <row r="418">
      <c r="D418" s="18"/>
      <c r="E418" s="19"/>
      <c r="F418" s="19"/>
    </row>
    <row r="419">
      <c r="D419" s="18"/>
      <c r="E419" s="19"/>
      <c r="F419" s="19"/>
    </row>
    <row r="420">
      <c r="D420" s="18"/>
      <c r="E420" s="19"/>
      <c r="F420" s="19"/>
    </row>
    <row r="421">
      <c r="D421" s="18"/>
      <c r="E421" s="19"/>
      <c r="F421" s="19"/>
    </row>
    <row r="422">
      <c r="D422" s="18"/>
      <c r="E422" s="19"/>
      <c r="F422" s="19"/>
    </row>
    <row r="423">
      <c r="D423" s="18"/>
      <c r="E423" s="19"/>
      <c r="F423" s="19"/>
    </row>
    <row r="424">
      <c r="D424" s="18"/>
      <c r="E424" s="19"/>
      <c r="F424" s="19"/>
    </row>
    <row r="425">
      <c r="D425" s="18"/>
      <c r="E425" s="19"/>
      <c r="F425" s="19"/>
    </row>
    <row r="426">
      <c r="D426" s="18"/>
      <c r="E426" s="19"/>
      <c r="F426" s="19"/>
    </row>
    <row r="427">
      <c r="D427" s="18"/>
      <c r="E427" s="19"/>
      <c r="F427" s="19"/>
    </row>
    <row r="428">
      <c r="D428" s="18"/>
      <c r="E428" s="19"/>
      <c r="F428" s="19"/>
    </row>
    <row r="429">
      <c r="D429" s="18"/>
      <c r="E429" s="19"/>
      <c r="F429" s="19"/>
    </row>
    <row r="430">
      <c r="D430" s="18"/>
      <c r="E430" s="19"/>
      <c r="F430" s="19"/>
    </row>
    <row r="431">
      <c r="D431" s="18"/>
      <c r="E431" s="19"/>
      <c r="F431" s="19"/>
    </row>
    <row r="432">
      <c r="D432" s="18"/>
      <c r="E432" s="19"/>
      <c r="F432" s="19"/>
    </row>
    <row r="433">
      <c r="D433" s="18"/>
      <c r="E433" s="19"/>
      <c r="F433" s="19"/>
    </row>
    <row r="434">
      <c r="D434" s="18"/>
      <c r="E434" s="19"/>
      <c r="F434" s="19"/>
    </row>
    <row r="435">
      <c r="D435" s="18"/>
      <c r="E435" s="19"/>
      <c r="F435" s="19"/>
    </row>
    <row r="436">
      <c r="D436" s="18"/>
      <c r="E436" s="19"/>
      <c r="F436" s="19"/>
    </row>
    <row r="437">
      <c r="D437" s="18"/>
      <c r="E437" s="19"/>
      <c r="F437" s="19"/>
    </row>
    <row r="438">
      <c r="D438" s="18"/>
      <c r="E438" s="19"/>
      <c r="F438" s="19"/>
    </row>
    <row r="439">
      <c r="D439" s="18"/>
      <c r="E439" s="19"/>
      <c r="F439" s="19"/>
    </row>
    <row r="440">
      <c r="D440" s="18"/>
      <c r="E440" s="19"/>
      <c r="F440" s="19"/>
    </row>
    <row r="441">
      <c r="D441" s="18"/>
      <c r="E441" s="19"/>
      <c r="F441" s="19"/>
    </row>
    <row r="442">
      <c r="D442" s="18"/>
      <c r="E442" s="19"/>
      <c r="F442" s="19"/>
    </row>
    <row r="443">
      <c r="D443" s="18"/>
      <c r="E443" s="19"/>
      <c r="F443" s="19"/>
    </row>
    <row r="444">
      <c r="D444" s="18"/>
      <c r="E444" s="19"/>
      <c r="F444" s="19"/>
    </row>
    <row r="445">
      <c r="D445" s="18"/>
      <c r="E445" s="19"/>
      <c r="F445" s="19"/>
    </row>
    <row r="446">
      <c r="D446" s="18"/>
      <c r="E446" s="19"/>
      <c r="F446" s="19"/>
    </row>
    <row r="447">
      <c r="D447" s="18"/>
      <c r="E447" s="19"/>
      <c r="F447" s="19"/>
    </row>
    <row r="448">
      <c r="D448" s="18"/>
      <c r="E448" s="19"/>
      <c r="F448" s="19"/>
    </row>
    <row r="449">
      <c r="D449" s="18"/>
      <c r="E449" s="19"/>
      <c r="F449" s="19"/>
    </row>
    <row r="450">
      <c r="D450" s="18"/>
      <c r="E450" s="19"/>
      <c r="F450" s="19"/>
    </row>
    <row r="451">
      <c r="D451" s="18"/>
      <c r="E451" s="19"/>
      <c r="F451" s="19"/>
    </row>
    <row r="452">
      <c r="D452" s="18"/>
      <c r="E452" s="19"/>
      <c r="F452" s="19"/>
    </row>
    <row r="453">
      <c r="D453" s="18"/>
      <c r="E453" s="19"/>
      <c r="F453" s="19"/>
    </row>
    <row r="454">
      <c r="D454" s="18"/>
      <c r="E454" s="19"/>
      <c r="F454" s="19"/>
    </row>
    <row r="455">
      <c r="D455" s="18"/>
      <c r="E455" s="19"/>
      <c r="F455" s="19"/>
    </row>
    <row r="456">
      <c r="D456" s="18"/>
      <c r="E456" s="19"/>
      <c r="F456" s="19"/>
    </row>
    <row r="457">
      <c r="D457" s="18"/>
      <c r="E457" s="19"/>
      <c r="F457" s="19"/>
    </row>
    <row r="458">
      <c r="D458" s="18"/>
      <c r="E458" s="19"/>
      <c r="F458" s="19"/>
    </row>
    <row r="459">
      <c r="D459" s="18"/>
      <c r="E459" s="19"/>
      <c r="F459" s="19"/>
    </row>
    <row r="460">
      <c r="D460" s="18"/>
      <c r="E460" s="19"/>
      <c r="F460" s="19"/>
    </row>
    <row r="461">
      <c r="D461" s="18"/>
      <c r="E461" s="19"/>
      <c r="F461" s="19"/>
    </row>
    <row r="462">
      <c r="D462" s="18"/>
      <c r="E462" s="19"/>
      <c r="F462" s="19"/>
    </row>
    <row r="463">
      <c r="D463" s="18"/>
      <c r="E463" s="19"/>
      <c r="F463" s="19"/>
    </row>
    <row r="464">
      <c r="D464" s="18"/>
      <c r="E464" s="19"/>
      <c r="F464" s="19"/>
    </row>
    <row r="465">
      <c r="D465" s="18"/>
      <c r="E465" s="19"/>
      <c r="F465" s="19"/>
    </row>
    <row r="466">
      <c r="D466" s="18"/>
      <c r="E466" s="19"/>
      <c r="F466" s="19"/>
    </row>
    <row r="467">
      <c r="D467" s="18"/>
      <c r="E467" s="19"/>
      <c r="F467" s="19"/>
    </row>
    <row r="468">
      <c r="D468" s="18"/>
      <c r="E468" s="19"/>
      <c r="F468" s="19"/>
    </row>
    <row r="469">
      <c r="D469" s="18"/>
      <c r="E469" s="19"/>
      <c r="F469" s="19"/>
    </row>
    <row r="470">
      <c r="D470" s="18"/>
      <c r="E470" s="19"/>
      <c r="F470" s="19"/>
    </row>
    <row r="471">
      <c r="D471" s="18"/>
      <c r="E471" s="19"/>
      <c r="F471" s="19"/>
    </row>
    <row r="472">
      <c r="D472" s="18"/>
      <c r="E472" s="19"/>
      <c r="F472" s="19"/>
    </row>
    <row r="473">
      <c r="D473" s="18"/>
      <c r="E473" s="19"/>
      <c r="F473" s="19"/>
    </row>
    <row r="474">
      <c r="D474" s="18"/>
      <c r="E474" s="19"/>
      <c r="F474" s="19"/>
    </row>
    <row r="475">
      <c r="D475" s="18"/>
      <c r="E475" s="19"/>
      <c r="F475" s="19"/>
    </row>
    <row r="476">
      <c r="D476" s="18"/>
      <c r="E476" s="19"/>
      <c r="F476" s="19"/>
    </row>
    <row r="477">
      <c r="D477" s="18"/>
      <c r="E477" s="19"/>
      <c r="F477" s="19"/>
    </row>
    <row r="478">
      <c r="D478" s="18"/>
      <c r="E478" s="19"/>
      <c r="F478" s="19"/>
    </row>
    <row r="479">
      <c r="D479" s="18"/>
      <c r="E479" s="19"/>
      <c r="F479" s="19"/>
    </row>
    <row r="480">
      <c r="D480" s="18"/>
      <c r="E480" s="19"/>
      <c r="F480" s="19"/>
    </row>
    <row r="481">
      <c r="D481" s="18"/>
      <c r="E481" s="19"/>
      <c r="F481" s="19"/>
    </row>
    <row r="482">
      <c r="D482" s="18"/>
      <c r="E482" s="19"/>
      <c r="F482" s="19"/>
    </row>
    <row r="483">
      <c r="D483" s="18"/>
      <c r="E483" s="19"/>
      <c r="F483" s="19"/>
    </row>
    <row r="484">
      <c r="D484" s="18"/>
      <c r="E484" s="19"/>
      <c r="F484" s="19"/>
    </row>
    <row r="485">
      <c r="D485" s="18"/>
      <c r="E485" s="19"/>
      <c r="F485" s="19"/>
    </row>
    <row r="486">
      <c r="D486" s="18"/>
      <c r="E486" s="19"/>
      <c r="F486" s="19"/>
    </row>
    <row r="487">
      <c r="D487" s="18"/>
      <c r="E487" s="19"/>
      <c r="F487" s="19"/>
    </row>
    <row r="488">
      <c r="D488" s="18"/>
      <c r="E488" s="19"/>
      <c r="F488" s="19"/>
    </row>
    <row r="489">
      <c r="D489" s="18"/>
      <c r="E489" s="19"/>
      <c r="F489" s="19"/>
    </row>
    <row r="490">
      <c r="D490" s="18"/>
      <c r="E490" s="19"/>
      <c r="F490" s="19"/>
    </row>
    <row r="491">
      <c r="D491" s="18"/>
      <c r="E491" s="19"/>
      <c r="F491" s="19"/>
    </row>
    <row r="492">
      <c r="D492" s="18"/>
      <c r="E492" s="19"/>
      <c r="F492" s="19"/>
    </row>
    <row r="493">
      <c r="D493" s="18"/>
      <c r="E493" s="19"/>
      <c r="F493" s="19"/>
    </row>
    <row r="494">
      <c r="D494" s="18"/>
      <c r="E494" s="19"/>
      <c r="F494" s="19"/>
    </row>
    <row r="495">
      <c r="D495" s="18"/>
      <c r="E495" s="19"/>
      <c r="F495" s="19"/>
    </row>
    <row r="496">
      <c r="D496" s="18"/>
      <c r="E496" s="19"/>
      <c r="F496" s="19"/>
    </row>
    <row r="497">
      <c r="D497" s="18"/>
      <c r="E497" s="19"/>
      <c r="F497" s="19"/>
    </row>
    <row r="498">
      <c r="D498" s="18"/>
      <c r="E498" s="19"/>
      <c r="F498" s="19"/>
    </row>
    <row r="499">
      <c r="D499" s="18"/>
      <c r="E499" s="19"/>
      <c r="F499" s="19"/>
    </row>
    <row r="500">
      <c r="D500" s="18"/>
      <c r="E500" s="19"/>
      <c r="F500" s="19"/>
    </row>
    <row r="501">
      <c r="D501" s="18"/>
      <c r="E501" s="19"/>
      <c r="F501" s="19"/>
    </row>
    <row r="502">
      <c r="D502" s="18"/>
      <c r="E502" s="19"/>
      <c r="F502" s="19"/>
    </row>
    <row r="503">
      <c r="D503" s="18"/>
      <c r="E503" s="19"/>
      <c r="F503" s="19"/>
    </row>
    <row r="504">
      <c r="D504" s="18"/>
      <c r="E504" s="19"/>
      <c r="F504" s="19"/>
    </row>
    <row r="505">
      <c r="D505" s="18"/>
      <c r="E505" s="19"/>
      <c r="F505" s="19"/>
    </row>
    <row r="506">
      <c r="D506" s="18"/>
      <c r="E506" s="19"/>
      <c r="F506" s="19"/>
    </row>
    <row r="507">
      <c r="D507" s="18"/>
      <c r="E507" s="19"/>
      <c r="F507" s="19"/>
    </row>
    <row r="508">
      <c r="D508" s="18"/>
      <c r="E508" s="19"/>
      <c r="F508" s="19"/>
    </row>
    <row r="509">
      <c r="D509" s="18"/>
      <c r="E509" s="19"/>
      <c r="F509" s="19"/>
    </row>
    <row r="510">
      <c r="D510" s="18"/>
      <c r="E510" s="19"/>
      <c r="F510" s="19"/>
    </row>
    <row r="511">
      <c r="D511" s="18"/>
      <c r="E511" s="19"/>
      <c r="F511" s="19"/>
    </row>
    <row r="512">
      <c r="D512" s="18"/>
      <c r="E512" s="19"/>
      <c r="F512" s="19"/>
    </row>
    <row r="513">
      <c r="D513" s="18"/>
      <c r="E513" s="19"/>
      <c r="F513" s="19"/>
    </row>
    <row r="514">
      <c r="D514" s="18"/>
      <c r="E514" s="19"/>
      <c r="F514" s="19"/>
    </row>
    <row r="515">
      <c r="D515" s="18"/>
      <c r="E515" s="19"/>
      <c r="F515" s="19"/>
    </row>
    <row r="516">
      <c r="D516" s="18"/>
      <c r="E516" s="19"/>
      <c r="F516" s="19"/>
    </row>
    <row r="517">
      <c r="D517" s="18"/>
      <c r="E517" s="19"/>
      <c r="F517" s="19"/>
    </row>
    <row r="518">
      <c r="D518" s="18"/>
      <c r="E518" s="19"/>
      <c r="F518" s="19"/>
    </row>
    <row r="519">
      <c r="D519" s="18"/>
      <c r="E519" s="19"/>
      <c r="F519" s="19"/>
    </row>
    <row r="520">
      <c r="D520" s="18"/>
      <c r="E520" s="19"/>
      <c r="F520" s="19"/>
    </row>
    <row r="521">
      <c r="D521" s="18"/>
      <c r="E521" s="19"/>
      <c r="F521" s="19"/>
    </row>
    <row r="522">
      <c r="D522" s="18"/>
      <c r="E522" s="19"/>
      <c r="F522" s="19"/>
    </row>
    <row r="523">
      <c r="D523" s="18"/>
      <c r="E523" s="19"/>
      <c r="F523" s="19"/>
    </row>
    <row r="524">
      <c r="D524" s="18"/>
      <c r="E524" s="19"/>
      <c r="F524" s="19"/>
    </row>
    <row r="525">
      <c r="D525" s="18"/>
      <c r="E525" s="19"/>
      <c r="F525" s="19"/>
    </row>
    <row r="526">
      <c r="D526" s="18"/>
      <c r="E526" s="19"/>
      <c r="F526" s="19"/>
    </row>
    <row r="527">
      <c r="D527" s="18"/>
      <c r="E527" s="19"/>
      <c r="F527" s="19"/>
    </row>
    <row r="528">
      <c r="D528" s="18"/>
      <c r="E528" s="19"/>
      <c r="F528" s="19"/>
    </row>
    <row r="529">
      <c r="D529" s="18"/>
      <c r="E529" s="19"/>
      <c r="F529" s="19"/>
    </row>
    <row r="530">
      <c r="D530" s="18"/>
      <c r="E530" s="19"/>
      <c r="F530" s="19"/>
    </row>
    <row r="531">
      <c r="D531" s="18"/>
      <c r="E531" s="19"/>
      <c r="F531" s="19"/>
    </row>
    <row r="532">
      <c r="D532" s="18"/>
      <c r="E532" s="19"/>
      <c r="F532" s="19"/>
    </row>
    <row r="533">
      <c r="D533" s="18"/>
      <c r="E533" s="19"/>
      <c r="F533" s="19"/>
    </row>
    <row r="534">
      <c r="D534" s="18"/>
      <c r="E534" s="19"/>
      <c r="F534" s="19"/>
    </row>
    <row r="535">
      <c r="D535" s="18"/>
      <c r="E535" s="19"/>
      <c r="F535" s="19"/>
    </row>
    <row r="536">
      <c r="D536" s="18"/>
      <c r="E536" s="19"/>
      <c r="F536" s="19"/>
    </row>
    <row r="537">
      <c r="D537" s="18"/>
      <c r="E537" s="19"/>
      <c r="F537" s="19"/>
    </row>
    <row r="538">
      <c r="D538" s="18"/>
      <c r="E538" s="19"/>
      <c r="F538" s="19"/>
    </row>
    <row r="539">
      <c r="D539" s="18"/>
      <c r="E539" s="19"/>
      <c r="F539" s="19"/>
    </row>
    <row r="540">
      <c r="D540" s="18"/>
      <c r="E540" s="19"/>
      <c r="F540" s="19"/>
    </row>
    <row r="541">
      <c r="D541" s="18"/>
      <c r="E541" s="19"/>
      <c r="F541" s="19"/>
    </row>
    <row r="542">
      <c r="D542" s="18"/>
      <c r="E542" s="19"/>
      <c r="F542" s="19"/>
    </row>
    <row r="543">
      <c r="D543" s="18"/>
      <c r="E543" s="19"/>
      <c r="F543" s="19"/>
    </row>
    <row r="544">
      <c r="D544" s="18"/>
      <c r="E544" s="19"/>
      <c r="F544" s="19"/>
    </row>
    <row r="545">
      <c r="D545" s="18"/>
      <c r="E545" s="19"/>
      <c r="F545" s="19"/>
    </row>
    <row r="546">
      <c r="D546" s="18"/>
      <c r="E546" s="19"/>
      <c r="F546" s="19"/>
    </row>
    <row r="547">
      <c r="D547" s="18"/>
      <c r="E547" s="19"/>
      <c r="F547" s="19"/>
    </row>
    <row r="548">
      <c r="D548" s="18"/>
      <c r="E548" s="19"/>
      <c r="F548" s="19"/>
    </row>
    <row r="549">
      <c r="D549" s="18"/>
      <c r="E549" s="19"/>
      <c r="F549" s="19"/>
    </row>
    <row r="550">
      <c r="D550" s="18"/>
      <c r="E550" s="19"/>
      <c r="F550" s="19"/>
    </row>
    <row r="551">
      <c r="D551" s="18"/>
      <c r="E551" s="19"/>
      <c r="F551" s="19"/>
    </row>
    <row r="552">
      <c r="D552" s="18"/>
      <c r="E552" s="19"/>
      <c r="F552" s="19"/>
    </row>
    <row r="553">
      <c r="D553" s="18"/>
      <c r="E553" s="19"/>
      <c r="F553" s="19"/>
    </row>
    <row r="554">
      <c r="D554" s="18"/>
      <c r="E554" s="19"/>
      <c r="F554" s="19"/>
    </row>
    <row r="555">
      <c r="D555" s="18"/>
      <c r="E555" s="19"/>
      <c r="F555" s="19"/>
    </row>
    <row r="556">
      <c r="D556" s="18"/>
      <c r="E556" s="19"/>
      <c r="F556" s="19"/>
    </row>
    <row r="557">
      <c r="D557" s="18"/>
      <c r="E557" s="19"/>
      <c r="F557" s="19"/>
    </row>
    <row r="558">
      <c r="D558" s="18"/>
      <c r="E558" s="19"/>
      <c r="F558" s="19"/>
    </row>
    <row r="559">
      <c r="D559" s="18"/>
      <c r="E559" s="19"/>
      <c r="F559" s="19"/>
    </row>
    <row r="560">
      <c r="D560" s="18"/>
      <c r="E560" s="19"/>
      <c r="F560" s="19"/>
    </row>
    <row r="561">
      <c r="D561" s="18"/>
      <c r="E561" s="19"/>
      <c r="F561" s="19"/>
    </row>
    <row r="562">
      <c r="D562" s="18"/>
      <c r="E562" s="19"/>
      <c r="F562" s="19"/>
    </row>
    <row r="563">
      <c r="D563" s="18"/>
      <c r="E563" s="19"/>
      <c r="F563" s="19"/>
    </row>
    <row r="564">
      <c r="D564" s="18"/>
      <c r="E564" s="19"/>
      <c r="F564" s="19"/>
    </row>
    <row r="565">
      <c r="D565" s="18"/>
      <c r="E565" s="19"/>
      <c r="F565" s="19"/>
    </row>
    <row r="566">
      <c r="D566" s="18"/>
      <c r="E566" s="19"/>
      <c r="F566" s="19"/>
    </row>
    <row r="567">
      <c r="D567" s="18"/>
      <c r="E567" s="19"/>
      <c r="F567" s="19"/>
    </row>
    <row r="568">
      <c r="D568" s="18"/>
      <c r="E568" s="19"/>
      <c r="F568" s="19"/>
    </row>
    <row r="569">
      <c r="D569" s="18"/>
      <c r="E569" s="19"/>
      <c r="F569" s="19"/>
    </row>
    <row r="570">
      <c r="D570" s="18"/>
      <c r="E570" s="19"/>
      <c r="F570" s="19"/>
    </row>
    <row r="571">
      <c r="D571" s="18"/>
      <c r="E571" s="19"/>
      <c r="F571" s="19"/>
    </row>
    <row r="572">
      <c r="D572" s="18"/>
      <c r="E572" s="19"/>
      <c r="F572" s="19"/>
    </row>
    <row r="573">
      <c r="D573" s="18"/>
      <c r="E573" s="19"/>
      <c r="F573" s="19"/>
    </row>
    <row r="574">
      <c r="D574" s="18"/>
      <c r="E574" s="19"/>
      <c r="F574" s="19"/>
    </row>
    <row r="575">
      <c r="D575" s="18"/>
      <c r="E575" s="19"/>
      <c r="F575" s="19"/>
    </row>
    <row r="576">
      <c r="D576" s="18"/>
      <c r="E576" s="19"/>
      <c r="F576" s="19"/>
    </row>
    <row r="577">
      <c r="D577" s="18"/>
      <c r="E577" s="19"/>
      <c r="F577" s="19"/>
    </row>
    <row r="578">
      <c r="D578" s="18"/>
      <c r="E578" s="19"/>
      <c r="F578" s="19"/>
    </row>
    <row r="579">
      <c r="D579" s="18"/>
      <c r="E579" s="19"/>
      <c r="F579" s="19"/>
    </row>
    <row r="580">
      <c r="D580" s="18"/>
      <c r="E580" s="19"/>
      <c r="F580" s="19"/>
    </row>
    <row r="581">
      <c r="D581" s="18"/>
      <c r="E581" s="19"/>
      <c r="F581" s="19"/>
    </row>
    <row r="582">
      <c r="D582" s="18"/>
      <c r="E582" s="19"/>
      <c r="F582" s="19"/>
    </row>
    <row r="583">
      <c r="D583" s="18"/>
      <c r="E583" s="19"/>
      <c r="F583" s="19"/>
    </row>
    <row r="584">
      <c r="D584" s="18"/>
      <c r="E584" s="19"/>
      <c r="F584" s="19"/>
    </row>
    <row r="585">
      <c r="D585" s="18"/>
      <c r="E585" s="19"/>
      <c r="F585" s="19"/>
    </row>
    <row r="586">
      <c r="D586" s="18"/>
      <c r="E586" s="19"/>
      <c r="F586" s="19"/>
    </row>
    <row r="587">
      <c r="D587" s="18"/>
      <c r="E587" s="19"/>
      <c r="F587" s="19"/>
    </row>
    <row r="588">
      <c r="D588" s="18"/>
      <c r="E588" s="19"/>
      <c r="F588" s="19"/>
    </row>
    <row r="589">
      <c r="D589" s="18"/>
      <c r="E589" s="19"/>
      <c r="F589" s="19"/>
    </row>
    <row r="590">
      <c r="D590" s="18"/>
      <c r="E590" s="19"/>
      <c r="F590" s="19"/>
    </row>
    <row r="591">
      <c r="D591" s="18"/>
      <c r="E591" s="19"/>
      <c r="F591" s="19"/>
    </row>
    <row r="592">
      <c r="D592" s="18"/>
      <c r="E592" s="19"/>
      <c r="F592" s="19"/>
    </row>
    <row r="593">
      <c r="D593" s="18"/>
      <c r="E593" s="19"/>
      <c r="F593" s="19"/>
    </row>
    <row r="594">
      <c r="D594" s="18"/>
      <c r="E594" s="19"/>
      <c r="F594" s="19"/>
    </row>
    <row r="595">
      <c r="D595" s="18"/>
      <c r="E595" s="19"/>
      <c r="F595" s="19"/>
    </row>
    <row r="596">
      <c r="D596" s="18"/>
      <c r="E596" s="19"/>
      <c r="F596" s="19"/>
    </row>
    <row r="597">
      <c r="D597" s="18"/>
      <c r="E597" s="19"/>
      <c r="F597" s="19"/>
    </row>
    <row r="598">
      <c r="D598" s="18"/>
      <c r="E598" s="19"/>
      <c r="F598" s="19"/>
    </row>
    <row r="599">
      <c r="D599" s="18"/>
      <c r="E599" s="19"/>
      <c r="F599" s="19"/>
    </row>
    <row r="600">
      <c r="D600" s="18"/>
      <c r="E600" s="19"/>
      <c r="F600" s="19"/>
    </row>
    <row r="601">
      <c r="D601" s="18"/>
      <c r="E601" s="19"/>
      <c r="F601" s="19"/>
    </row>
    <row r="602">
      <c r="D602" s="18"/>
      <c r="E602" s="19"/>
      <c r="F602" s="19"/>
    </row>
    <row r="603">
      <c r="D603" s="18"/>
      <c r="E603" s="19"/>
      <c r="F603" s="19"/>
    </row>
    <row r="604">
      <c r="D604" s="18"/>
      <c r="E604" s="19"/>
      <c r="F604" s="19"/>
    </row>
    <row r="605">
      <c r="D605" s="18"/>
      <c r="E605" s="19"/>
      <c r="F605" s="19"/>
    </row>
    <row r="606">
      <c r="D606" s="18"/>
      <c r="E606" s="19"/>
      <c r="F606" s="19"/>
    </row>
    <row r="607">
      <c r="D607" s="18"/>
      <c r="E607" s="19"/>
      <c r="F607" s="19"/>
    </row>
    <row r="608">
      <c r="D608" s="18"/>
      <c r="E608" s="19"/>
      <c r="F608" s="19"/>
    </row>
    <row r="609">
      <c r="D609" s="18"/>
      <c r="E609" s="19"/>
      <c r="F609" s="19"/>
    </row>
    <row r="610">
      <c r="D610" s="18"/>
      <c r="E610" s="19"/>
      <c r="F610" s="19"/>
    </row>
    <row r="611">
      <c r="D611" s="18"/>
      <c r="E611" s="19"/>
      <c r="F611" s="19"/>
    </row>
    <row r="612">
      <c r="D612" s="18"/>
      <c r="E612" s="19"/>
      <c r="F612" s="19"/>
    </row>
    <row r="613">
      <c r="D613" s="18"/>
      <c r="E613" s="19"/>
      <c r="F613" s="19"/>
    </row>
    <row r="614">
      <c r="D614" s="18"/>
      <c r="E614" s="19"/>
      <c r="F614" s="19"/>
    </row>
    <row r="615">
      <c r="D615" s="18"/>
      <c r="E615" s="19"/>
      <c r="F615" s="19"/>
    </row>
    <row r="616">
      <c r="D616" s="18"/>
      <c r="E616" s="19"/>
      <c r="F616" s="19"/>
    </row>
    <row r="617">
      <c r="D617" s="18"/>
      <c r="E617" s="19"/>
      <c r="F617" s="19"/>
    </row>
    <row r="618">
      <c r="D618" s="18"/>
      <c r="E618" s="19"/>
      <c r="F618" s="19"/>
    </row>
    <row r="619">
      <c r="D619" s="18"/>
      <c r="E619" s="19"/>
      <c r="F619" s="19"/>
    </row>
    <row r="620">
      <c r="D620" s="18"/>
      <c r="E620" s="19"/>
      <c r="F620" s="19"/>
    </row>
    <row r="621">
      <c r="D621" s="18"/>
      <c r="E621" s="19"/>
      <c r="F621" s="19"/>
    </row>
    <row r="622">
      <c r="D622" s="18"/>
      <c r="E622" s="19"/>
      <c r="F622" s="19"/>
    </row>
    <row r="623">
      <c r="D623" s="18"/>
      <c r="E623" s="19"/>
      <c r="F623" s="19"/>
    </row>
    <row r="624">
      <c r="D624" s="18"/>
      <c r="E624" s="19"/>
      <c r="F624" s="19"/>
    </row>
    <row r="625">
      <c r="D625" s="18"/>
      <c r="E625" s="19"/>
      <c r="F625" s="19"/>
    </row>
    <row r="626">
      <c r="D626" s="18"/>
      <c r="E626" s="19"/>
      <c r="F626" s="19"/>
    </row>
    <row r="627">
      <c r="D627" s="18"/>
      <c r="E627" s="19"/>
      <c r="F627" s="19"/>
    </row>
    <row r="628">
      <c r="D628" s="18"/>
      <c r="E628" s="19"/>
      <c r="F628" s="19"/>
    </row>
    <row r="629">
      <c r="D629" s="18"/>
      <c r="E629" s="19"/>
      <c r="F629" s="19"/>
    </row>
    <row r="630">
      <c r="D630" s="18"/>
      <c r="E630" s="19"/>
      <c r="F630" s="19"/>
    </row>
    <row r="631">
      <c r="D631" s="18"/>
      <c r="E631" s="19"/>
      <c r="F631" s="19"/>
    </row>
    <row r="632">
      <c r="D632" s="18"/>
      <c r="E632" s="19"/>
      <c r="F632" s="19"/>
    </row>
    <row r="633">
      <c r="D633" s="18"/>
      <c r="E633" s="19"/>
      <c r="F633" s="19"/>
    </row>
    <row r="634">
      <c r="D634" s="18"/>
      <c r="E634" s="19"/>
      <c r="F634" s="19"/>
    </row>
    <row r="635">
      <c r="D635" s="18"/>
      <c r="E635" s="19"/>
      <c r="F635" s="19"/>
    </row>
    <row r="636">
      <c r="D636" s="18"/>
      <c r="E636" s="19"/>
      <c r="F636" s="19"/>
    </row>
    <row r="637">
      <c r="D637" s="18"/>
      <c r="E637" s="19"/>
      <c r="F637" s="19"/>
    </row>
    <row r="638">
      <c r="D638" s="18"/>
      <c r="E638" s="19"/>
      <c r="F638" s="19"/>
    </row>
    <row r="639">
      <c r="D639" s="18"/>
      <c r="E639" s="19"/>
      <c r="F639" s="19"/>
    </row>
    <row r="640">
      <c r="D640" s="18"/>
      <c r="E640" s="19"/>
      <c r="F640" s="19"/>
    </row>
    <row r="641">
      <c r="D641" s="18"/>
      <c r="E641" s="19"/>
      <c r="F641" s="19"/>
    </row>
    <row r="642">
      <c r="D642" s="18"/>
      <c r="E642" s="19"/>
      <c r="F642" s="19"/>
    </row>
    <row r="643">
      <c r="D643" s="18"/>
      <c r="E643" s="19"/>
      <c r="F643" s="19"/>
    </row>
    <row r="644">
      <c r="D644" s="18"/>
      <c r="E644" s="19"/>
      <c r="F644" s="19"/>
    </row>
    <row r="645">
      <c r="D645" s="18"/>
      <c r="E645" s="19"/>
      <c r="F645" s="19"/>
    </row>
    <row r="646">
      <c r="D646" s="18"/>
      <c r="E646" s="19"/>
      <c r="F646" s="19"/>
    </row>
    <row r="647">
      <c r="D647" s="18"/>
      <c r="E647" s="19"/>
      <c r="F647" s="19"/>
    </row>
    <row r="648">
      <c r="D648" s="18"/>
      <c r="E648" s="19"/>
      <c r="F648" s="19"/>
    </row>
    <row r="649">
      <c r="D649" s="18"/>
      <c r="E649" s="19"/>
      <c r="F649" s="19"/>
    </row>
    <row r="650">
      <c r="D650" s="18"/>
      <c r="E650" s="19"/>
      <c r="F650" s="19"/>
    </row>
    <row r="651">
      <c r="D651" s="18"/>
      <c r="E651" s="19"/>
      <c r="F651" s="19"/>
    </row>
    <row r="652">
      <c r="D652" s="18"/>
      <c r="E652" s="19"/>
      <c r="F652" s="19"/>
    </row>
    <row r="653">
      <c r="D653" s="18"/>
      <c r="E653" s="19"/>
      <c r="F653" s="19"/>
    </row>
    <row r="654">
      <c r="D654" s="18"/>
      <c r="E654" s="19"/>
      <c r="F654" s="19"/>
    </row>
    <row r="655">
      <c r="D655" s="18"/>
      <c r="E655" s="19"/>
      <c r="F655" s="19"/>
    </row>
    <row r="656">
      <c r="D656" s="18"/>
      <c r="E656" s="19"/>
      <c r="F656" s="19"/>
    </row>
    <row r="657">
      <c r="D657" s="18"/>
      <c r="E657" s="19"/>
      <c r="F657" s="19"/>
    </row>
    <row r="658">
      <c r="D658" s="18"/>
      <c r="E658" s="19"/>
      <c r="F658" s="19"/>
    </row>
    <row r="659">
      <c r="D659" s="18"/>
      <c r="E659" s="19"/>
      <c r="F659" s="19"/>
    </row>
    <row r="660">
      <c r="D660" s="18"/>
      <c r="E660" s="19"/>
      <c r="F660" s="19"/>
    </row>
    <row r="661">
      <c r="D661" s="18"/>
      <c r="E661" s="19"/>
      <c r="F661" s="19"/>
    </row>
    <row r="662">
      <c r="D662" s="18"/>
      <c r="E662" s="19"/>
      <c r="F662" s="19"/>
    </row>
    <row r="663">
      <c r="D663" s="18"/>
      <c r="E663" s="19"/>
      <c r="F663" s="19"/>
    </row>
    <row r="664">
      <c r="D664" s="18"/>
      <c r="E664" s="19"/>
      <c r="F664" s="19"/>
    </row>
    <row r="665">
      <c r="D665" s="18"/>
      <c r="E665" s="19"/>
      <c r="F665" s="19"/>
    </row>
    <row r="666">
      <c r="D666" s="18"/>
      <c r="E666" s="19"/>
      <c r="F666" s="19"/>
    </row>
    <row r="667">
      <c r="D667" s="18"/>
      <c r="E667" s="19"/>
      <c r="F667" s="19"/>
    </row>
    <row r="668">
      <c r="D668" s="18"/>
      <c r="E668" s="19"/>
      <c r="F668" s="19"/>
    </row>
    <row r="669">
      <c r="D669" s="18"/>
      <c r="E669" s="19"/>
      <c r="F669" s="19"/>
    </row>
    <row r="670">
      <c r="D670" s="18"/>
      <c r="E670" s="19"/>
      <c r="F670" s="19"/>
    </row>
    <row r="671">
      <c r="D671" s="18"/>
      <c r="E671" s="19"/>
      <c r="F671" s="19"/>
    </row>
    <row r="672">
      <c r="D672" s="18"/>
      <c r="E672" s="19"/>
      <c r="F672" s="19"/>
    </row>
    <row r="673">
      <c r="D673" s="18"/>
      <c r="E673" s="19"/>
      <c r="F673" s="19"/>
    </row>
    <row r="674">
      <c r="D674" s="18"/>
      <c r="E674" s="19"/>
      <c r="F674" s="19"/>
    </row>
    <row r="675">
      <c r="D675" s="18"/>
      <c r="E675" s="19"/>
      <c r="F675" s="19"/>
    </row>
    <row r="676">
      <c r="D676" s="18"/>
      <c r="E676" s="19"/>
      <c r="F676" s="19"/>
    </row>
    <row r="677">
      <c r="D677" s="18"/>
      <c r="E677" s="19"/>
      <c r="F677" s="19"/>
    </row>
    <row r="678">
      <c r="D678" s="18"/>
      <c r="E678" s="19"/>
      <c r="F678" s="19"/>
    </row>
    <row r="679">
      <c r="D679" s="18"/>
      <c r="E679" s="19"/>
      <c r="F679" s="19"/>
    </row>
    <row r="680">
      <c r="D680" s="18"/>
      <c r="E680" s="19"/>
      <c r="F680" s="19"/>
    </row>
    <row r="681">
      <c r="D681" s="18"/>
      <c r="E681" s="19"/>
      <c r="F681" s="19"/>
    </row>
    <row r="682">
      <c r="D682" s="18"/>
      <c r="E682" s="19"/>
      <c r="F682" s="19"/>
    </row>
    <row r="683">
      <c r="D683" s="18"/>
      <c r="E683" s="19"/>
      <c r="F683" s="19"/>
    </row>
    <row r="684">
      <c r="D684" s="18"/>
      <c r="E684" s="19"/>
      <c r="F684" s="19"/>
    </row>
    <row r="685">
      <c r="D685" s="18"/>
      <c r="E685" s="19"/>
      <c r="F685" s="19"/>
    </row>
    <row r="686">
      <c r="D686" s="18"/>
      <c r="E686" s="19"/>
      <c r="F686" s="19"/>
    </row>
    <row r="687">
      <c r="D687" s="18"/>
      <c r="E687" s="19"/>
      <c r="F687" s="19"/>
    </row>
    <row r="688">
      <c r="D688" s="18"/>
      <c r="E688" s="19"/>
      <c r="F688" s="19"/>
    </row>
    <row r="689">
      <c r="D689" s="18"/>
      <c r="E689" s="19"/>
      <c r="F689" s="19"/>
    </row>
    <row r="690">
      <c r="D690" s="18"/>
      <c r="E690" s="19"/>
      <c r="F690" s="19"/>
    </row>
    <row r="691">
      <c r="D691" s="18"/>
      <c r="E691" s="19"/>
      <c r="F691" s="19"/>
    </row>
    <row r="692">
      <c r="D692" s="18"/>
      <c r="E692" s="19"/>
      <c r="F692" s="19"/>
    </row>
    <row r="693">
      <c r="D693" s="18"/>
      <c r="E693" s="19"/>
      <c r="F693" s="19"/>
    </row>
    <row r="694">
      <c r="D694" s="18"/>
      <c r="E694" s="19"/>
      <c r="F694" s="19"/>
    </row>
    <row r="695">
      <c r="D695" s="18"/>
      <c r="E695" s="19"/>
      <c r="F695" s="19"/>
    </row>
    <row r="696">
      <c r="D696" s="18"/>
      <c r="E696" s="19"/>
      <c r="F696" s="19"/>
    </row>
    <row r="697">
      <c r="D697" s="18"/>
      <c r="E697" s="19"/>
      <c r="F697" s="19"/>
    </row>
    <row r="698">
      <c r="D698" s="18"/>
      <c r="E698" s="19"/>
      <c r="F698" s="19"/>
    </row>
    <row r="699">
      <c r="D699" s="18"/>
      <c r="E699" s="19"/>
      <c r="F699" s="19"/>
    </row>
    <row r="700">
      <c r="D700" s="18"/>
      <c r="E700" s="19"/>
      <c r="F700" s="19"/>
    </row>
    <row r="701">
      <c r="D701" s="18"/>
      <c r="E701" s="19"/>
      <c r="F701" s="19"/>
    </row>
    <row r="702">
      <c r="D702" s="18"/>
      <c r="E702" s="19"/>
      <c r="F702" s="19"/>
    </row>
    <row r="703">
      <c r="D703" s="18"/>
      <c r="E703" s="19"/>
      <c r="F703" s="19"/>
    </row>
    <row r="704">
      <c r="D704" s="18"/>
      <c r="E704" s="19"/>
      <c r="F704" s="19"/>
    </row>
    <row r="705">
      <c r="D705" s="18"/>
      <c r="E705" s="19"/>
      <c r="F705" s="19"/>
    </row>
    <row r="706">
      <c r="D706" s="18"/>
      <c r="E706" s="19"/>
      <c r="F706" s="19"/>
    </row>
    <row r="707">
      <c r="D707" s="18"/>
      <c r="E707" s="19"/>
      <c r="F707" s="19"/>
    </row>
    <row r="708">
      <c r="D708" s="18"/>
      <c r="E708" s="19"/>
      <c r="F708" s="19"/>
    </row>
    <row r="709">
      <c r="D709" s="18"/>
      <c r="E709" s="19"/>
      <c r="F709" s="19"/>
    </row>
    <row r="710">
      <c r="D710" s="18"/>
      <c r="E710" s="19"/>
      <c r="F710" s="19"/>
    </row>
    <row r="711">
      <c r="D711" s="18"/>
      <c r="E711" s="19"/>
      <c r="F711" s="19"/>
    </row>
    <row r="712">
      <c r="D712" s="18"/>
      <c r="E712" s="19"/>
      <c r="F712" s="19"/>
    </row>
    <row r="713">
      <c r="D713" s="18"/>
      <c r="E713" s="19"/>
      <c r="F713" s="19"/>
    </row>
    <row r="714">
      <c r="D714" s="18"/>
      <c r="E714" s="19"/>
      <c r="F714" s="19"/>
    </row>
    <row r="715">
      <c r="D715" s="18"/>
      <c r="E715" s="19"/>
      <c r="F715" s="19"/>
    </row>
    <row r="716">
      <c r="D716" s="18"/>
      <c r="E716" s="19"/>
      <c r="F716" s="19"/>
    </row>
    <row r="717">
      <c r="D717" s="18"/>
      <c r="E717" s="19"/>
      <c r="F717" s="19"/>
    </row>
    <row r="718">
      <c r="D718" s="18"/>
      <c r="E718" s="19"/>
      <c r="F718" s="19"/>
    </row>
    <row r="719">
      <c r="D719" s="18"/>
      <c r="E719" s="19"/>
      <c r="F719" s="19"/>
    </row>
    <row r="720">
      <c r="D720" s="18"/>
      <c r="E720" s="19"/>
      <c r="F720" s="19"/>
    </row>
    <row r="721">
      <c r="D721" s="18"/>
      <c r="E721" s="19"/>
      <c r="F721" s="19"/>
    </row>
    <row r="722">
      <c r="D722" s="18"/>
      <c r="E722" s="19"/>
      <c r="F722" s="19"/>
    </row>
    <row r="723">
      <c r="D723" s="18"/>
      <c r="E723" s="19"/>
      <c r="F723" s="19"/>
    </row>
    <row r="724">
      <c r="D724" s="18"/>
      <c r="E724" s="19"/>
      <c r="F724" s="19"/>
    </row>
    <row r="725">
      <c r="D725" s="18"/>
      <c r="E725" s="19"/>
      <c r="F725" s="19"/>
    </row>
    <row r="726">
      <c r="D726" s="18"/>
      <c r="E726" s="19"/>
      <c r="F726" s="19"/>
    </row>
    <row r="727">
      <c r="D727" s="18"/>
      <c r="E727" s="19"/>
      <c r="F727" s="19"/>
    </row>
    <row r="728">
      <c r="D728" s="18"/>
      <c r="E728" s="19"/>
      <c r="F728" s="19"/>
    </row>
    <row r="729">
      <c r="D729" s="18"/>
      <c r="E729" s="19"/>
      <c r="F729" s="19"/>
    </row>
    <row r="730">
      <c r="D730" s="18"/>
      <c r="E730" s="19"/>
      <c r="F730" s="19"/>
    </row>
    <row r="731">
      <c r="D731" s="18"/>
      <c r="E731" s="19"/>
      <c r="F731" s="19"/>
    </row>
    <row r="732">
      <c r="D732" s="18"/>
      <c r="E732" s="19"/>
      <c r="F732" s="19"/>
    </row>
    <row r="733">
      <c r="D733" s="18"/>
      <c r="E733" s="19"/>
      <c r="F733" s="19"/>
    </row>
    <row r="734">
      <c r="D734" s="18"/>
      <c r="E734" s="19"/>
      <c r="F734" s="19"/>
    </row>
    <row r="735">
      <c r="D735" s="18"/>
      <c r="E735" s="19"/>
      <c r="F735" s="19"/>
    </row>
    <row r="736">
      <c r="D736" s="18"/>
      <c r="E736" s="19"/>
      <c r="F736" s="19"/>
    </row>
    <row r="737">
      <c r="D737" s="18"/>
      <c r="E737" s="19"/>
      <c r="F737" s="19"/>
    </row>
    <row r="738">
      <c r="D738" s="18"/>
      <c r="E738" s="19"/>
      <c r="F738" s="19"/>
    </row>
    <row r="739">
      <c r="D739" s="18"/>
      <c r="E739" s="19"/>
      <c r="F739" s="19"/>
    </row>
    <row r="740">
      <c r="D740" s="18"/>
      <c r="E740" s="19"/>
      <c r="F740" s="19"/>
    </row>
    <row r="741">
      <c r="D741" s="18"/>
      <c r="E741" s="19"/>
      <c r="F741" s="19"/>
    </row>
    <row r="742">
      <c r="D742" s="18"/>
      <c r="E742" s="19"/>
      <c r="F742" s="19"/>
    </row>
    <row r="743">
      <c r="D743" s="18"/>
      <c r="E743" s="19"/>
      <c r="F743" s="19"/>
    </row>
    <row r="744">
      <c r="D744" s="18"/>
      <c r="E744" s="19"/>
      <c r="F744" s="19"/>
    </row>
    <row r="745">
      <c r="D745" s="18"/>
      <c r="E745" s="19"/>
      <c r="F745" s="19"/>
    </row>
    <row r="746">
      <c r="D746" s="18"/>
      <c r="E746" s="19"/>
      <c r="F746" s="19"/>
    </row>
    <row r="747">
      <c r="D747" s="18"/>
      <c r="E747" s="19"/>
      <c r="F747" s="19"/>
    </row>
    <row r="748">
      <c r="D748" s="18"/>
      <c r="E748" s="19"/>
      <c r="F748" s="19"/>
    </row>
    <row r="749">
      <c r="D749" s="18"/>
      <c r="E749" s="19"/>
      <c r="F749" s="19"/>
    </row>
    <row r="750">
      <c r="D750" s="18"/>
      <c r="E750" s="19"/>
      <c r="F750" s="19"/>
    </row>
    <row r="751">
      <c r="D751" s="18"/>
      <c r="E751" s="19"/>
      <c r="F751" s="19"/>
    </row>
    <row r="752">
      <c r="D752" s="18"/>
      <c r="E752" s="19"/>
      <c r="F752" s="19"/>
    </row>
    <row r="753">
      <c r="D753" s="18"/>
      <c r="E753" s="19"/>
      <c r="F753" s="19"/>
    </row>
    <row r="754">
      <c r="D754" s="18"/>
      <c r="E754" s="19"/>
      <c r="F754" s="19"/>
    </row>
    <row r="755">
      <c r="D755" s="18"/>
      <c r="E755" s="19"/>
      <c r="F755" s="19"/>
    </row>
    <row r="756">
      <c r="D756" s="18"/>
      <c r="E756" s="19"/>
      <c r="F756" s="19"/>
    </row>
    <row r="757">
      <c r="D757" s="18"/>
      <c r="E757" s="19"/>
      <c r="F757" s="19"/>
    </row>
    <row r="758">
      <c r="D758" s="18"/>
      <c r="E758" s="19"/>
      <c r="F758" s="19"/>
    </row>
    <row r="759">
      <c r="D759" s="18"/>
      <c r="E759" s="19"/>
      <c r="F759" s="19"/>
    </row>
    <row r="760">
      <c r="D760" s="18"/>
      <c r="E760" s="19"/>
      <c r="F760" s="19"/>
    </row>
    <row r="761">
      <c r="D761" s="18"/>
      <c r="E761" s="19"/>
      <c r="F761" s="19"/>
    </row>
    <row r="762">
      <c r="D762" s="18"/>
      <c r="E762" s="19"/>
      <c r="F762" s="19"/>
    </row>
    <row r="763">
      <c r="D763" s="18"/>
      <c r="E763" s="19"/>
      <c r="F763" s="19"/>
    </row>
    <row r="764">
      <c r="D764" s="18"/>
      <c r="E764" s="19"/>
      <c r="F764" s="19"/>
    </row>
    <row r="765">
      <c r="D765" s="18"/>
      <c r="E765" s="19"/>
      <c r="F765" s="19"/>
    </row>
    <row r="766">
      <c r="D766" s="18"/>
      <c r="E766" s="19"/>
      <c r="F766" s="19"/>
    </row>
    <row r="767">
      <c r="D767" s="18"/>
      <c r="E767" s="19"/>
      <c r="F767" s="19"/>
    </row>
    <row r="768">
      <c r="D768" s="18"/>
      <c r="E768" s="19"/>
      <c r="F768" s="19"/>
    </row>
    <row r="769">
      <c r="D769" s="18"/>
      <c r="E769" s="19"/>
      <c r="F769" s="19"/>
    </row>
    <row r="770">
      <c r="D770" s="18"/>
      <c r="E770" s="19"/>
      <c r="F770" s="19"/>
    </row>
    <row r="771">
      <c r="D771" s="18"/>
      <c r="E771" s="19"/>
      <c r="F771" s="19"/>
    </row>
    <row r="772">
      <c r="D772" s="18"/>
      <c r="E772" s="19"/>
      <c r="F772" s="19"/>
    </row>
    <row r="773">
      <c r="D773" s="18"/>
      <c r="E773" s="19"/>
      <c r="F773" s="19"/>
    </row>
    <row r="774">
      <c r="D774" s="18"/>
      <c r="E774" s="19"/>
      <c r="F774" s="19"/>
    </row>
    <row r="775">
      <c r="D775" s="18"/>
      <c r="E775" s="19"/>
      <c r="F775" s="19"/>
    </row>
    <row r="776">
      <c r="D776" s="18"/>
      <c r="E776" s="19"/>
      <c r="F776" s="19"/>
    </row>
    <row r="777">
      <c r="D777" s="18"/>
      <c r="E777" s="19"/>
      <c r="F777" s="19"/>
    </row>
    <row r="778">
      <c r="D778" s="18"/>
      <c r="E778" s="19"/>
      <c r="F778" s="19"/>
    </row>
    <row r="779">
      <c r="D779" s="18"/>
      <c r="E779" s="19"/>
      <c r="F779" s="19"/>
    </row>
    <row r="780">
      <c r="D780" s="18"/>
      <c r="E780" s="19"/>
      <c r="F780" s="19"/>
    </row>
    <row r="781">
      <c r="D781" s="18"/>
      <c r="E781" s="19"/>
      <c r="F781" s="19"/>
    </row>
    <row r="782">
      <c r="D782" s="18"/>
      <c r="E782" s="19"/>
      <c r="F782" s="19"/>
    </row>
    <row r="783">
      <c r="D783" s="18"/>
      <c r="E783" s="19"/>
      <c r="F783" s="19"/>
    </row>
    <row r="784">
      <c r="D784" s="18"/>
      <c r="E784" s="19"/>
      <c r="F784" s="19"/>
    </row>
    <row r="785">
      <c r="D785" s="18"/>
      <c r="E785" s="19"/>
      <c r="F785" s="19"/>
    </row>
    <row r="786">
      <c r="D786" s="18"/>
      <c r="E786" s="19"/>
      <c r="F786" s="19"/>
    </row>
    <row r="787">
      <c r="D787" s="18"/>
      <c r="E787" s="19"/>
      <c r="F787" s="19"/>
    </row>
    <row r="788">
      <c r="D788" s="18"/>
      <c r="E788" s="19"/>
      <c r="F788" s="19"/>
    </row>
    <row r="789">
      <c r="D789" s="18"/>
      <c r="E789" s="19"/>
      <c r="F789" s="19"/>
    </row>
    <row r="790">
      <c r="D790" s="18"/>
      <c r="E790" s="19"/>
      <c r="F790" s="19"/>
    </row>
    <row r="791">
      <c r="D791" s="18"/>
      <c r="E791" s="19"/>
      <c r="F791" s="19"/>
    </row>
    <row r="792">
      <c r="D792" s="18"/>
      <c r="E792" s="19"/>
      <c r="F792" s="19"/>
    </row>
    <row r="793">
      <c r="D793" s="18"/>
      <c r="E793" s="19"/>
      <c r="F793" s="19"/>
    </row>
    <row r="794">
      <c r="D794" s="18"/>
      <c r="E794" s="19"/>
      <c r="F794" s="19"/>
    </row>
    <row r="795">
      <c r="D795" s="18"/>
      <c r="E795" s="19"/>
      <c r="F795" s="19"/>
    </row>
    <row r="796">
      <c r="D796" s="18"/>
      <c r="E796" s="19"/>
      <c r="F796" s="19"/>
    </row>
    <row r="797">
      <c r="D797" s="18"/>
      <c r="E797" s="19"/>
      <c r="F797" s="19"/>
    </row>
    <row r="798">
      <c r="D798" s="18"/>
      <c r="E798" s="19"/>
      <c r="F798" s="19"/>
    </row>
    <row r="799">
      <c r="D799" s="18"/>
      <c r="E799" s="19"/>
      <c r="F799" s="19"/>
    </row>
    <row r="800">
      <c r="D800" s="18"/>
      <c r="E800" s="19"/>
      <c r="F800" s="19"/>
    </row>
    <row r="801">
      <c r="D801" s="18"/>
      <c r="E801" s="19"/>
      <c r="F801" s="19"/>
    </row>
    <row r="802">
      <c r="D802" s="18"/>
      <c r="E802" s="19"/>
      <c r="F802" s="19"/>
    </row>
    <row r="803">
      <c r="D803" s="18"/>
      <c r="E803" s="19"/>
      <c r="F803" s="19"/>
    </row>
    <row r="804">
      <c r="D804" s="18"/>
      <c r="E804" s="19"/>
      <c r="F804" s="19"/>
    </row>
    <row r="805">
      <c r="D805" s="18"/>
      <c r="E805" s="19"/>
      <c r="F805" s="19"/>
    </row>
    <row r="806">
      <c r="D806" s="18"/>
      <c r="E806" s="19"/>
      <c r="F806" s="19"/>
    </row>
    <row r="807">
      <c r="D807" s="18"/>
      <c r="E807" s="19"/>
      <c r="F807" s="19"/>
    </row>
    <row r="808">
      <c r="D808" s="18"/>
      <c r="E808" s="19"/>
      <c r="F808" s="19"/>
    </row>
    <row r="809">
      <c r="D809" s="18"/>
      <c r="E809" s="19"/>
      <c r="F809" s="19"/>
    </row>
    <row r="810">
      <c r="D810" s="18"/>
      <c r="E810" s="19"/>
      <c r="F810" s="19"/>
    </row>
    <row r="811">
      <c r="D811" s="18"/>
      <c r="E811" s="19"/>
      <c r="F811" s="19"/>
    </row>
    <row r="812">
      <c r="D812" s="18"/>
      <c r="E812" s="19"/>
      <c r="F812" s="19"/>
    </row>
    <row r="813">
      <c r="D813" s="18"/>
      <c r="E813" s="19"/>
      <c r="F813" s="19"/>
    </row>
    <row r="814">
      <c r="D814" s="18"/>
      <c r="E814" s="19"/>
      <c r="F814" s="19"/>
    </row>
    <row r="815">
      <c r="D815" s="18"/>
      <c r="E815" s="19"/>
      <c r="F815" s="19"/>
    </row>
    <row r="816">
      <c r="D816" s="18"/>
      <c r="E816" s="19"/>
      <c r="F816" s="19"/>
    </row>
    <row r="817">
      <c r="D817" s="18"/>
      <c r="E817" s="19"/>
      <c r="F817" s="19"/>
    </row>
    <row r="818">
      <c r="D818" s="18"/>
      <c r="E818" s="19"/>
      <c r="F818" s="19"/>
    </row>
    <row r="819">
      <c r="D819" s="18"/>
      <c r="E819" s="19"/>
      <c r="F819" s="19"/>
    </row>
    <row r="820">
      <c r="D820" s="18"/>
      <c r="E820" s="19"/>
      <c r="F820" s="19"/>
    </row>
    <row r="821">
      <c r="D821" s="18"/>
      <c r="E821" s="19"/>
      <c r="F821" s="19"/>
    </row>
    <row r="822">
      <c r="D822" s="18"/>
      <c r="E822" s="19"/>
      <c r="F822" s="19"/>
    </row>
    <row r="823">
      <c r="D823" s="18"/>
      <c r="E823" s="19"/>
      <c r="F823" s="19"/>
    </row>
    <row r="824">
      <c r="D824" s="18"/>
      <c r="E824" s="19"/>
      <c r="F824" s="19"/>
    </row>
    <row r="825">
      <c r="D825" s="18"/>
      <c r="E825" s="19"/>
      <c r="F825" s="19"/>
    </row>
    <row r="826">
      <c r="D826" s="18"/>
      <c r="E826" s="19"/>
      <c r="F826" s="19"/>
    </row>
    <row r="827">
      <c r="D827" s="18"/>
      <c r="E827" s="19"/>
      <c r="F827" s="19"/>
    </row>
    <row r="828">
      <c r="D828" s="18"/>
      <c r="E828" s="19"/>
      <c r="F828" s="19"/>
    </row>
    <row r="829">
      <c r="D829" s="18"/>
      <c r="E829" s="19"/>
      <c r="F829" s="19"/>
    </row>
    <row r="830">
      <c r="D830" s="18"/>
      <c r="E830" s="19"/>
      <c r="F830" s="19"/>
    </row>
    <row r="831">
      <c r="D831" s="18"/>
      <c r="E831" s="19"/>
      <c r="F831" s="19"/>
    </row>
    <row r="832">
      <c r="D832" s="18"/>
      <c r="E832" s="19"/>
      <c r="F832" s="19"/>
    </row>
    <row r="833">
      <c r="D833" s="18"/>
      <c r="E833" s="19"/>
      <c r="F833" s="19"/>
    </row>
    <row r="834">
      <c r="D834" s="18"/>
      <c r="E834" s="19"/>
      <c r="F834" s="19"/>
    </row>
    <row r="835">
      <c r="D835" s="18"/>
      <c r="E835" s="19"/>
      <c r="F835" s="19"/>
    </row>
    <row r="836">
      <c r="D836" s="18"/>
      <c r="E836" s="19"/>
      <c r="F836" s="19"/>
    </row>
    <row r="837">
      <c r="D837" s="18"/>
      <c r="E837" s="19"/>
      <c r="F837" s="19"/>
    </row>
    <row r="838">
      <c r="D838" s="18"/>
      <c r="E838" s="19"/>
      <c r="F838" s="19"/>
    </row>
    <row r="839">
      <c r="D839" s="18"/>
      <c r="E839" s="19"/>
      <c r="F839" s="19"/>
    </row>
    <row r="840">
      <c r="D840" s="18"/>
      <c r="E840" s="19"/>
      <c r="F840" s="19"/>
    </row>
    <row r="841">
      <c r="D841" s="18"/>
      <c r="E841" s="19"/>
      <c r="F841" s="19"/>
    </row>
    <row r="842">
      <c r="D842" s="18"/>
      <c r="E842" s="19"/>
      <c r="F842" s="19"/>
    </row>
    <row r="843">
      <c r="D843" s="18"/>
      <c r="E843" s="19"/>
      <c r="F843" s="19"/>
    </row>
    <row r="844">
      <c r="D844" s="18"/>
      <c r="E844" s="19"/>
      <c r="F844" s="19"/>
    </row>
    <row r="845">
      <c r="D845" s="18"/>
      <c r="E845" s="19"/>
      <c r="F845" s="19"/>
    </row>
    <row r="846">
      <c r="D846" s="18"/>
      <c r="E846" s="19"/>
      <c r="F846" s="19"/>
    </row>
    <row r="847">
      <c r="D847" s="18"/>
      <c r="E847" s="19"/>
      <c r="F847" s="19"/>
    </row>
    <row r="848">
      <c r="D848" s="18"/>
      <c r="E848" s="19"/>
      <c r="F848" s="19"/>
    </row>
    <row r="849">
      <c r="D849" s="18"/>
      <c r="E849" s="19"/>
      <c r="F849" s="19"/>
    </row>
    <row r="850">
      <c r="D850" s="18"/>
      <c r="E850" s="19"/>
      <c r="F850" s="19"/>
    </row>
    <row r="851">
      <c r="D851" s="18"/>
      <c r="E851" s="19"/>
      <c r="F851" s="19"/>
    </row>
    <row r="852">
      <c r="D852" s="18"/>
      <c r="E852" s="19"/>
      <c r="F852" s="19"/>
    </row>
    <row r="853">
      <c r="D853" s="18"/>
      <c r="E853" s="19"/>
      <c r="F853" s="19"/>
    </row>
    <row r="854">
      <c r="D854" s="18"/>
      <c r="E854" s="19"/>
      <c r="F854" s="19"/>
    </row>
    <row r="855">
      <c r="D855" s="18"/>
      <c r="E855" s="19"/>
      <c r="F855" s="19"/>
    </row>
    <row r="856">
      <c r="D856" s="18"/>
      <c r="E856" s="19"/>
      <c r="F856" s="19"/>
    </row>
    <row r="857">
      <c r="D857" s="18"/>
      <c r="E857" s="19"/>
      <c r="F857" s="19"/>
    </row>
    <row r="858">
      <c r="D858" s="18"/>
      <c r="E858" s="19"/>
      <c r="F858" s="19"/>
    </row>
    <row r="859">
      <c r="D859" s="18"/>
      <c r="E859" s="19"/>
      <c r="F859" s="19"/>
    </row>
    <row r="860">
      <c r="D860" s="18"/>
      <c r="E860" s="19"/>
      <c r="F860" s="19"/>
    </row>
    <row r="861">
      <c r="D861" s="18"/>
      <c r="E861" s="19"/>
      <c r="F861" s="19"/>
    </row>
    <row r="862">
      <c r="D862" s="18"/>
      <c r="E862" s="19"/>
      <c r="F862" s="19"/>
    </row>
    <row r="863">
      <c r="D863" s="18"/>
      <c r="E863" s="19"/>
      <c r="F863" s="19"/>
    </row>
    <row r="864">
      <c r="D864" s="18"/>
      <c r="E864" s="19"/>
      <c r="F864" s="19"/>
    </row>
    <row r="865">
      <c r="D865" s="18"/>
      <c r="E865" s="19"/>
      <c r="F865" s="19"/>
    </row>
    <row r="866">
      <c r="D866" s="18"/>
      <c r="E866" s="19"/>
      <c r="F866" s="19"/>
    </row>
    <row r="867">
      <c r="D867" s="18"/>
      <c r="E867" s="19"/>
      <c r="F867" s="19"/>
    </row>
    <row r="868">
      <c r="D868" s="18"/>
      <c r="E868" s="19"/>
      <c r="F868" s="19"/>
    </row>
    <row r="869">
      <c r="D869" s="18"/>
      <c r="E869" s="19"/>
      <c r="F869" s="19"/>
    </row>
    <row r="870">
      <c r="D870" s="18"/>
      <c r="E870" s="19"/>
      <c r="F870" s="19"/>
    </row>
    <row r="871">
      <c r="D871" s="18"/>
      <c r="E871" s="19"/>
      <c r="F871" s="19"/>
    </row>
    <row r="872">
      <c r="D872" s="18"/>
      <c r="E872" s="19"/>
      <c r="F872" s="19"/>
    </row>
    <row r="873">
      <c r="D873" s="18"/>
      <c r="E873" s="19"/>
      <c r="F873" s="19"/>
    </row>
    <row r="874">
      <c r="D874" s="18"/>
      <c r="E874" s="19"/>
      <c r="F874" s="19"/>
    </row>
    <row r="875">
      <c r="D875" s="18"/>
      <c r="E875" s="19"/>
      <c r="F875" s="19"/>
    </row>
    <row r="876">
      <c r="D876" s="18"/>
      <c r="E876" s="19"/>
      <c r="F876" s="19"/>
    </row>
    <row r="877">
      <c r="D877" s="18"/>
      <c r="E877" s="19"/>
      <c r="F877" s="19"/>
    </row>
    <row r="878">
      <c r="D878" s="18"/>
      <c r="E878" s="19"/>
      <c r="F878" s="19"/>
    </row>
    <row r="879">
      <c r="D879" s="18"/>
      <c r="E879" s="19"/>
      <c r="F879" s="19"/>
    </row>
    <row r="880">
      <c r="D880" s="18"/>
      <c r="E880" s="19"/>
      <c r="F880" s="19"/>
    </row>
    <row r="881">
      <c r="D881" s="18"/>
      <c r="E881" s="19"/>
      <c r="F881" s="19"/>
    </row>
    <row r="882">
      <c r="D882" s="18"/>
      <c r="E882" s="19"/>
      <c r="F882" s="19"/>
    </row>
    <row r="883">
      <c r="D883" s="18"/>
      <c r="E883" s="19"/>
      <c r="F883" s="19"/>
    </row>
    <row r="884">
      <c r="D884" s="18"/>
      <c r="E884" s="19"/>
      <c r="F884" s="19"/>
    </row>
    <row r="885">
      <c r="D885" s="18"/>
      <c r="E885" s="19"/>
      <c r="F885" s="19"/>
    </row>
    <row r="886">
      <c r="D886" s="18"/>
      <c r="E886" s="19"/>
      <c r="F886" s="19"/>
    </row>
    <row r="887">
      <c r="D887" s="18"/>
      <c r="E887" s="19"/>
      <c r="F887" s="19"/>
    </row>
    <row r="888">
      <c r="D888" s="18"/>
      <c r="E888" s="19"/>
      <c r="F888" s="19"/>
    </row>
    <row r="889">
      <c r="D889" s="18"/>
      <c r="E889" s="19"/>
      <c r="F889" s="19"/>
    </row>
    <row r="890">
      <c r="D890" s="18"/>
      <c r="E890" s="19"/>
      <c r="F890" s="19"/>
    </row>
    <row r="891">
      <c r="D891" s="18"/>
      <c r="E891" s="19"/>
      <c r="F891" s="19"/>
    </row>
    <row r="892">
      <c r="D892" s="18"/>
      <c r="E892" s="19"/>
      <c r="F892" s="19"/>
    </row>
    <row r="893">
      <c r="D893" s="18"/>
      <c r="E893" s="19"/>
      <c r="F893" s="19"/>
    </row>
    <row r="894">
      <c r="D894" s="18"/>
      <c r="E894" s="19"/>
      <c r="F894" s="19"/>
    </row>
    <row r="895">
      <c r="D895" s="18"/>
      <c r="E895" s="19"/>
      <c r="F895" s="19"/>
    </row>
    <row r="896">
      <c r="D896" s="18"/>
      <c r="E896" s="19"/>
      <c r="F896" s="19"/>
    </row>
    <row r="897">
      <c r="D897" s="18"/>
      <c r="E897" s="19"/>
      <c r="F897" s="19"/>
    </row>
    <row r="898">
      <c r="D898" s="18"/>
      <c r="E898" s="19"/>
      <c r="F898" s="19"/>
    </row>
    <row r="899">
      <c r="D899" s="18"/>
      <c r="E899" s="19"/>
      <c r="F899" s="19"/>
    </row>
    <row r="900">
      <c r="D900" s="18"/>
      <c r="E900" s="19"/>
      <c r="F900" s="19"/>
    </row>
    <row r="901">
      <c r="D901" s="18"/>
      <c r="E901" s="19"/>
      <c r="F901" s="19"/>
    </row>
    <row r="902">
      <c r="D902" s="18"/>
      <c r="E902" s="19"/>
      <c r="F902" s="19"/>
    </row>
    <row r="903">
      <c r="D903" s="18"/>
      <c r="E903" s="19"/>
      <c r="F903" s="19"/>
    </row>
    <row r="904">
      <c r="D904" s="18"/>
      <c r="E904" s="19"/>
      <c r="F904" s="19"/>
    </row>
    <row r="905">
      <c r="D905" s="18"/>
      <c r="E905" s="19"/>
      <c r="F905" s="19"/>
    </row>
    <row r="906">
      <c r="D906" s="18"/>
      <c r="E906" s="19"/>
      <c r="F906" s="19"/>
    </row>
    <row r="907">
      <c r="D907" s="18"/>
      <c r="E907" s="19"/>
      <c r="F907" s="19"/>
    </row>
    <row r="908">
      <c r="D908" s="18"/>
      <c r="E908" s="19"/>
      <c r="F908" s="19"/>
    </row>
    <row r="909">
      <c r="D909" s="18"/>
      <c r="E909" s="19"/>
      <c r="F909" s="19"/>
    </row>
    <row r="910">
      <c r="D910" s="18"/>
      <c r="E910" s="19"/>
      <c r="F910" s="19"/>
    </row>
    <row r="911">
      <c r="D911" s="18"/>
      <c r="E911" s="19"/>
      <c r="F911" s="19"/>
    </row>
    <row r="912">
      <c r="D912" s="18"/>
      <c r="E912" s="19"/>
      <c r="F912" s="19"/>
    </row>
    <row r="913">
      <c r="D913" s="18"/>
      <c r="E913" s="19"/>
      <c r="F913" s="19"/>
    </row>
    <row r="914">
      <c r="D914" s="18"/>
      <c r="E914" s="19"/>
      <c r="F914" s="19"/>
    </row>
    <row r="915">
      <c r="D915" s="18"/>
      <c r="E915" s="19"/>
      <c r="F915" s="19"/>
    </row>
    <row r="916">
      <c r="D916" s="18"/>
      <c r="E916" s="19"/>
      <c r="F916" s="19"/>
    </row>
    <row r="917">
      <c r="D917" s="18"/>
      <c r="E917" s="19"/>
      <c r="F917" s="19"/>
    </row>
    <row r="918">
      <c r="D918" s="18"/>
      <c r="E918" s="19"/>
      <c r="F918" s="19"/>
    </row>
    <row r="919">
      <c r="D919" s="18"/>
      <c r="E919" s="19"/>
      <c r="F919" s="19"/>
    </row>
    <row r="920">
      <c r="D920" s="18"/>
      <c r="E920" s="19"/>
      <c r="F920" s="19"/>
    </row>
    <row r="921">
      <c r="D921" s="18"/>
      <c r="E921" s="19"/>
      <c r="F921" s="19"/>
    </row>
    <row r="922">
      <c r="D922" s="18"/>
      <c r="E922" s="19"/>
      <c r="F922" s="19"/>
    </row>
    <row r="923">
      <c r="D923" s="18"/>
      <c r="E923" s="19"/>
      <c r="F923" s="19"/>
    </row>
    <row r="924">
      <c r="D924" s="18"/>
      <c r="E924" s="19"/>
      <c r="F924" s="19"/>
    </row>
    <row r="925">
      <c r="D925" s="18"/>
      <c r="E925" s="19"/>
      <c r="F925" s="19"/>
    </row>
    <row r="926">
      <c r="D926" s="18"/>
      <c r="E926" s="19"/>
      <c r="F926" s="19"/>
    </row>
    <row r="927">
      <c r="D927" s="18"/>
      <c r="E927" s="19"/>
      <c r="F927" s="19"/>
    </row>
    <row r="928">
      <c r="D928" s="18"/>
      <c r="E928" s="19"/>
      <c r="F928" s="19"/>
    </row>
    <row r="929">
      <c r="D929" s="18"/>
      <c r="E929" s="19"/>
      <c r="F929" s="19"/>
    </row>
    <row r="930">
      <c r="D930" s="18"/>
      <c r="E930" s="19"/>
      <c r="F930" s="19"/>
    </row>
    <row r="931">
      <c r="D931" s="18"/>
      <c r="E931" s="19"/>
      <c r="F931" s="19"/>
    </row>
    <row r="932">
      <c r="D932" s="18"/>
      <c r="E932" s="19"/>
      <c r="F932" s="19"/>
    </row>
    <row r="933">
      <c r="D933" s="18"/>
      <c r="E933" s="19"/>
      <c r="F933" s="19"/>
    </row>
    <row r="934">
      <c r="D934" s="18"/>
      <c r="E934" s="19"/>
      <c r="F934" s="19"/>
    </row>
    <row r="935">
      <c r="D935" s="18"/>
      <c r="E935" s="19"/>
      <c r="F935" s="19"/>
    </row>
    <row r="936">
      <c r="D936" s="18"/>
      <c r="E936" s="19"/>
      <c r="F936" s="19"/>
    </row>
    <row r="937">
      <c r="D937" s="18"/>
      <c r="E937" s="19"/>
      <c r="F937" s="19"/>
    </row>
    <row r="938">
      <c r="D938" s="18"/>
      <c r="E938" s="19"/>
      <c r="F938" s="19"/>
    </row>
    <row r="939">
      <c r="D939" s="18"/>
      <c r="E939" s="19"/>
      <c r="F939" s="19"/>
    </row>
    <row r="940">
      <c r="D940" s="18"/>
      <c r="E940" s="19"/>
      <c r="F940" s="19"/>
    </row>
    <row r="941">
      <c r="D941" s="18"/>
      <c r="E941" s="19"/>
      <c r="F941" s="19"/>
    </row>
    <row r="942">
      <c r="D942" s="18"/>
      <c r="E942" s="19"/>
      <c r="F942" s="19"/>
    </row>
    <row r="943">
      <c r="D943" s="18"/>
      <c r="E943" s="19"/>
      <c r="F943" s="19"/>
    </row>
    <row r="944">
      <c r="D944" s="18"/>
      <c r="E944" s="19"/>
      <c r="F944" s="19"/>
    </row>
    <row r="945">
      <c r="D945" s="18"/>
      <c r="E945" s="19"/>
      <c r="F945" s="19"/>
    </row>
    <row r="946">
      <c r="D946" s="18"/>
      <c r="E946" s="19"/>
      <c r="F946" s="19"/>
    </row>
    <row r="947">
      <c r="D947" s="18"/>
      <c r="E947" s="19"/>
      <c r="F947" s="19"/>
    </row>
    <row r="948">
      <c r="D948" s="18"/>
      <c r="E948" s="19"/>
      <c r="F948" s="19"/>
    </row>
    <row r="949">
      <c r="D949" s="18"/>
      <c r="E949" s="19"/>
      <c r="F949" s="19"/>
    </row>
    <row r="950">
      <c r="D950" s="18"/>
      <c r="E950" s="19"/>
      <c r="F950" s="19"/>
    </row>
    <row r="951">
      <c r="D951" s="18"/>
      <c r="E951" s="19"/>
      <c r="F951" s="19"/>
    </row>
    <row r="952">
      <c r="D952" s="18"/>
      <c r="E952" s="19"/>
      <c r="F952" s="19"/>
    </row>
    <row r="953">
      <c r="D953" s="18"/>
      <c r="E953" s="19"/>
      <c r="F953" s="19"/>
    </row>
    <row r="954">
      <c r="D954" s="18"/>
      <c r="E954" s="19"/>
      <c r="F954" s="19"/>
    </row>
    <row r="955">
      <c r="D955" s="18"/>
      <c r="E955" s="19"/>
      <c r="F955" s="19"/>
    </row>
    <row r="956">
      <c r="D956" s="18"/>
      <c r="E956" s="19"/>
      <c r="F956" s="19"/>
    </row>
    <row r="957">
      <c r="D957" s="18"/>
      <c r="E957" s="19"/>
      <c r="F957" s="19"/>
    </row>
    <row r="958">
      <c r="D958" s="18"/>
      <c r="E958" s="19"/>
      <c r="F958" s="19"/>
    </row>
    <row r="959">
      <c r="D959" s="18"/>
      <c r="E959" s="19"/>
      <c r="F959" s="19"/>
    </row>
    <row r="960">
      <c r="D960" s="18"/>
      <c r="E960" s="19"/>
      <c r="F960" s="19"/>
    </row>
    <row r="961">
      <c r="D961" s="18"/>
      <c r="E961" s="19"/>
      <c r="F961" s="19"/>
    </row>
    <row r="962">
      <c r="D962" s="18"/>
      <c r="E962" s="19"/>
      <c r="F962" s="19"/>
    </row>
    <row r="963">
      <c r="D963" s="18"/>
      <c r="E963" s="19"/>
      <c r="F963" s="19"/>
    </row>
    <row r="964">
      <c r="D964" s="18"/>
      <c r="E964" s="19"/>
      <c r="F964" s="19"/>
    </row>
    <row r="965">
      <c r="D965" s="18"/>
      <c r="E965" s="19"/>
      <c r="F965" s="19"/>
    </row>
    <row r="966">
      <c r="D966" s="18"/>
      <c r="E966" s="19"/>
      <c r="F966" s="19"/>
    </row>
    <row r="967">
      <c r="D967" s="18"/>
      <c r="E967" s="19"/>
      <c r="F967" s="19"/>
    </row>
    <row r="968">
      <c r="D968" s="18"/>
      <c r="E968" s="19"/>
      <c r="F968" s="19"/>
    </row>
    <row r="969">
      <c r="D969" s="18"/>
      <c r="E969" s="19"/>
      <c r="F969" s="19"/>
    </row>
    <row r="970">
      <c r="D970" s="18"/>
      <c r="E970" s="19"/>
      <c r="F970" s="19"/>
    </row>
    <row r="971">
      <c r="D971" s="18"/>
      <c r="E971" s="19"/>
      <c r="F971" s="19"/>
    </row>
    <row r="972">
      <c r="D972" s="18"/>
      <c r="E972" s="19"/>
      <c r="F972" s="19"/>
    </row>
    <row r="973">
      <c r="D973" s="18"/>
      <c r="E973" s="19"/>
      <c r="F973" s="19"/>
    </row>
    <row r="974">
      <c r="D974" s="18"/>
      <c r="E974" s="19"/>
      <c r="F974" s="19"/>
    </row>
    <row r="975">
      <c r="D975" s="18"/>
      <c r="E975" s="19"/>
      <c r="F975" s="19"/>
    </row>
    <row r="976">
      <c r="D976" s="18"/>
      <c r="E976" s="19"/>
      <c r="F976" s="19"/>
    </row>
    <row r="977">
      <c r="D977" s="18"/>
      <c r="E977" s="19"/>
      <c r="F977" s="19"/>
    </row>
    <row r="978">
      <c r="D978" s="18"/>
      <c r="E978" s="19"/>
      <c r="F978" s="19"/>
    </row>
    <row r="979">
      <c r="D979" s="18"/>
      <c r="E979" s="19"/>
      <c r="F979" s="19"/>
    </row>
    <row r="980">
      <c r="D980" s="18"/>
      <c r="E980" s="19"/>
      <c r="F980" s="19"/>
    </row>
    <row r="981">
      <c r="D981" s="18"/>
      <c r="E981" s="19"/>
      <c r="F981" s="19"/>
    </row>
    <row r="982">
      <c r="D982" s="18"/>
      <c r="E982" s="19"/>
      <c r="F982" s="19"/>
    </row>
    <row r="983">
      <c r="D983" s="18"/>
      <c r="E983" s="19"/>
      <c r="F983" s="19"/>
    </row>
    <row r="984">
      <c r="D984" s="18"/>
      <c r="E984" s="19"/>
      <c r="F984" s="19"/>
    </row>
    <row r="985">
      <c r="D985" s="18"/>
      <c r="E985" s="19"/>
      <c r="F985" s="19"/>
    </row>
    <row r="986">
      <c r="D986" s="18"/>
      <c r="E986" s="19"/>
      <c r="F986" s="19"/>
    </row>
    <row r="987">
      <c r="D987" s="18"/>
      <c r="E987" s="19"/>
      <c r="F987" s="19"/>
    </row>
    <row r="988">
      <c r="D988" s="18"/>
      <c r="E988" s="19"/>
      <c r="F988" s="19"/>
    </row>
    <row r="989">
      <c r="D989" s="18"/>
      <c r="E989" s="19"/>
      <c r="F989" s="19"/>
    </row>
    <row r="990">
      <c r="D990" s="18"/>
      <c r="E990" s="19"/>
      <c r="F990" s="19"/>
    </row>
    <row r="991">
      <c r="D991" s="18"/>
      <c r="E991" s="19"/>
      <c r="F991" s="19"/>
    </row>
    <row r="992">
      <c r="D992" s="18"/>
      <c r="E992" s="19"/>
      <c r="F992" s="19"/>
    </row>
    <row r="993">
      <c r="D993" s="18"/>
      <c r="E993" s="19"/>
      <c r="F993" s="19"/>
    </row>
    <row r="994">
      <c r="D994" s="18"/>
      <c r="E994" s="19"/>
      <c r="F994" s="19"/>
    </row>
    <row r="995">
      <c r="D995" s="18"/>
      <c r="E995" s="19"/>
      <c r="F995" s="19"/>
    </row>
    <row r="996">
      <c r="D996" s="18"/>
      <c r="E996" s="19"/>
      <c r="F996" s="19"/>
    </row>
    <row r="997">
      <c r="D997" s="18"/>
      <c r="E997" s="19"/>
      <c r="F997" s="19"/>
    </row>
    <row r="998">
      <c r="D998" s="18"/>
      <c r="E998" s="19"/>
      <c r="F998" s="19"/>
    </row>
    <row r="999">
      <c r="D999" s="18"/>
      <c r="E999" s="19"/>
      <c r="F999" s="19"/>
    </row>
    <row r="1000">
      <c r="D1000" s="18"/>
      <c r="E1000" s="19"/>
      <c r="F1000" s="19"/>
    </row>
    <row r="1001">
      <c r="D1001" s="18"/>
      <c r="E1001" s="19"/>
      <c r="F1001" s="19"/>
    </row>
    <row r="1002">
      <c r="D1002" s="18"/>
      <c r="E1002" s="19"/>
      <c r="F1002" s="19"/>
    </row>
    <row r="1003">
      <c r="D1003" s="18"/>
      <c r="E1003" s="19"/>
      <c r="F1003" s="19"/>
    </row>
    <row r="1004">
      <c r="D1004" s="18"/>
      <c r="E1004" s="19"/>
      <c r="F1004" s="19"/>
    </row>
    <row r="1005">
      <c r="D1005" s="18"/>
      <c r="E1005" s="19"/>
      <c r="F1005" s="19"/>
    </row>
    <row r="1006">
      <c r="D1006" s="18"/>
      <c r="E1006" s="19"/>
      <c r="F1006" s="19"/>
    </row>
    <row r="1007">
      <c r="D1007" s="18"/>
      <c r="E1007" s="19"/>
      <c r="F1007" s="19"/>
    </row>
    <row r="1008">
      <c r="D1008" s="18"/>
      <c r="E1008" s="19"/>
      <c r="F1008" s="19"/>
    </row>
    <row r="1009">
      <c r="D1009" s="18"/>
      <c r="E1009" s="19"/>
      <c r="F1009" s="19"/>
    </row>
    <row r="1010">
      <c r="D1010" s="18"/>
      <c r="E1010" s="19"/>
      <c r="F1010" s="19"/>
    </row>
    <row r="1011">
      <c r="D1011" s="18"/>
      <c r="E1011" s="19"/>
      <c r="F1011" s="19"/>
    </row>
    <row r="1012">
      <c r="D1012" s="18"/>
      <c r="E1012" s="19"/>
      <c r="F1012" s="19"/>
    </row>
    <row r="1013">
      <c r="D1013" s="18"/>
      <c r="E1013" s="19"/>
      <c r="F1013" s="19"/>
    </row>
    <row r="1014">
      <c r="D1014" s="18"/>
      <c r="E1014" s="19"/>
      <c r="F1014" s="19"/>
    </row>
    <row r="1015">
      <c r="D1015" s="18"/>
      <c r="E1015" s="19"/>
      <c r="F1015" s="19"/>
    </row>
    <row r="1016">
      <c r="D1016" s="18"/>
      <c r="E1016" s="19"/>
      <c r="F1016"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9.38"/>
    <col customWidth="1" min="3" max="3" width="18.88"/>
    <col customWidth="1" min="4" max="4" width="9.13"/>
    <col customWidth="1" min="5" max="5" width="6.5"/>
    <col customWidth="1" min="6" max="6" width="6.75"/>
    <col customWidth="1" min="7" max="7" width="122.25"/>
  </cols>
  <sheetData>
    <row r="1" ht="38.25" customHeight="1">
      <c r="A1" s="36">
        <f>SUM(A3:A50)</f>
        <v>502</v>
      </c>
      <c r="B1" s="71" t="s">
        <v>593</v>
      </c>
      <c r="C1" s="36">
        <f>SUM(F3:F100)</f>
        <v>76</v>
      </c>
      <c r="D1" s="3"/>
      <c r="E1" s="4"/>
      <c r="F1" s="4"/>
      <c r="G1" s="5" t="s">
        <v>1</v>
      </c>
    </row>
    <row r="2">
      <c r="A2" s="43" t="s">
        <v>2</v>
      </c>
      <c r="B2" s="45" t="s">
        <v>3</v>
      </c>
      <c r="C2" s="45" t="s">
        <v>4</v>
      </c>
      <c r="D2" s="46" t="s">
        <v>594</v>
      </c>
      <c r="E2" s="45" t="s">
        <v>6</v>
      </c>
      <c r="F2" s="45" t="s">
        <v>234</v>
      </c>
      <c r="G2" s="47" t="s">
        <v>8</v>
      </c>
    </row>
    <row r="3">
      <c r="A3" s="11">
        <f t="shared" ref="A3:A47" si="1">E3*F3</f>
        <v>0</v>
      </c>
      <c r="B3" s="80"/>
      <c r="C3" s="81"/>
      <c r="D3" s="82"/>
      <c r="E3" s="61"/>
      <c r="F3" s="61"/>
      <c r="G3" s="83"/>
    </row>
    <row r="4">
      <c r="A4" s="11">
        <f t="shared" si="1"/>
        <v>0</v>
      </c>
      <c r="B4" s="76"/>
      <c r="C4" s="49"/>
      <c r="D4" s="50"/>
      <c r="E4" s="61"/>
      <c r="F4" s="61"/>
      <c r="G4" s="62"/>
    </row>
    <row r="5">
      <c r="A5" s="11">
        <f t="shared" si="1"/>
        <v>0</v>
      </c>
      <c r="B5" s="76"/>
      <c r="C5" s="49"/>
      <c r="D5" s="50"/>
      <c r="E5" s="61"/>
      <c r="F5" s="61"/>
      <c r="G5" s="62"/>
    </row>
    <row r="6">
      <c r="A6" s="11">
        <f t="shared" si="1"/>
        <v>0</v>
      </c>
      <c r="B6" s="76"/>
      <c r="C6" s="49"/>
      <c r="D6" s="50"/>
      <c r="E6" s="61"/>
      <c r="F6" s="61"/>
      <c r="G6" s="62"/>
    </row>
    <row r="7">
      <c r="A7" s="11">
        <f t="shared" si="1"/>
        <v>0</v>
      </c>
      <c r="B7" s="76"/>
      <c r="C7" s="49"/>
      <c r="D7" s="50"/>
      <c r="E7" s="61"/>
      <c r="F7" s="61"/>
      <c r="G7" s="62"/>
    </row>
    <row r="8">
      <c r="A8" s="11">
        <f t="shared" si="1"/>
        <v>0</v>
      </c>
      <c r="B8" s="76"/>
      <c r="C8" s="49"/>
      <c r="D8" s="50"/>
      <c r="E8" s="61"/>
      <c r="F8" s="61"/>
      <c r="G8" s="62"/>
    </row>
    <row r="9">
      <c r="A9" s="11">
        <f t="shared" si="1"/>
        <v>3</v>
      </c>
      <c r="B9" s="84">
        <v>44145.0</v>
      </c>
      <c r="C9" s="49" t="s">
        <v>595</v>
      </c>
      <c r="D9" s="50" t="s">
        <v>440</v>
      </c>
      <c r="E9" s="61">
        <v>3.0</v>
      </c>
      <c r="F9" s="61">
        <v>1.0</v>
      </c>
      <c r="G9" s="62" t="s">
        <v>596</v>
      </c>
    </row>
    <row r="10">
      <c r="A10" s="11">
        <f t="shared" si="1"/>
        <v>4</v>
      </c>
      <c r="B10" s="84">
        <v>44114.0</v>
      </c>
      <c r="C10" s="49" t="s">
        <v>587</v>
      </c>
      <c r="D10" s="50" t="s">
        <v>42</v>
      </c>
      <c r="E10" s="61">
        <v>4.0</v>
      </c>
      <c r="F10" s="61">
        <v>1.0</v>
      </c>
      <c r="G10" s="62" t="s">
        <v>597</v>
      </c>
    </row>
    <row r="11">
      <c r="A11" s="11">
        <f t="shared" si="1"/>
        <v>120</v>
      </c>
      <c r="B11" s="85"/>
      <c r="C11" s="49" t="s">
        <v>543</v>
      </c>
      <c r="D11" s="77" t="s">
        <v>529</v>
      </c>
      <c r="E11" s="61">
        <v>15.0</v>
      </c>
      <c r="F11" s="61">
        <v>8.0</v>
      </c>
      <c r="G11" s="62"/>
    </row>
    <row r="12">
      <c r="A12" s="11">
        <f t="shared" si="1"/>
        <v>64</v>
      </c>
      <c r="B12" s="85"/>
      <c r="C12" s="49" t="s">
        <v>543</v>
      </c>
      <c r="D12" s="77" t="s">
        <v>529</v>
      </c>
      <c r="E12" s="61">
        <v>8.0</v>
      </c>
      <c r="F12" s="61">
        <v>8.0</v>
      </c>
      <c r="G12" s="62"/>
    </row>
    <row r="13">
      <c r="A13" s="11">
        <f t="shared" si="1"/>
        <v>15</v>
      </c>
      <c r="B13" s="85">
        <v>44144.0</v>
      </c>
      <c r="C13" s="49" t="s">
        <v>598</v>
      </c>
      <c r="D13" s="50" t="s">
        <v>599</v>
      </c>
      <c r="E13" s="61">
        <v>5.0</v>
      </c>
      <c r="F13" s="61">
        <v>3.0</v>
      </c>
      <c r="G13" s="62" t="s">
        <v>600</v>
      </c>
    </row>
    <row r="14">
      <c r="A14" s="11">
        <f t="shared" si="1"/>
        <v>3</v>
      </c>
      <c r="B14" s="75">
        <v>43991.0</v>
      </c>
      <c r="C14" s="49" t="s">
        <v>36</v>
      </c>
      <c r="D14" s="50" t="s">
        <v>247</v>
      </c>
      <c r="E14" s="61">
        <v>3.0</v>
      </c>
      <c r="F14" s="61">
        <v>1.0</v>
      </c>
      <c r="G14" s="62" t="s">
        <v>601</v>
      </c>
    </row>
    <row r="15">
      <c r="A15" s="11">
        <f t="shared" si="1"/>
        <v>24</v>
      </c>
      <c r="B15" s="22" t="s">
        <v>602</v>
      </c>
      <c r="C15" s="49" t="s">
        <v>603</v>
      </c>
      <c r="D15" s="50" t="s">
        <v>247</v>
      </c>
      <c r="E15" s="61">
        <v>4.0</v>
      </c>
      <c r="F15" s="61">
        <v>6.0</v>
      </c>
      <c r="G15" s="62" t="s">
        <v>604</v>
      </c>
    </row>
    <row r="16">
      <c r="A16" s="11">
        <f t="shared" si="1"/>
        <v>6</v>
      </c>
      <c r="B16" s="76" t="s">
        <v>605</v>
      </c>
      <c r="C16" s="49" t="s">
        <v>606</v>
      </c>
      <c r="D16" s="50" t="s">
        <v>247</v>
      </c>
      <c r="E16" s="61">
        <v>3.0</v>
      </c>
      <c r="F16" s="61">
        <v>2.0</v>
      </c>
      <c r="G16" s="62" t="s">
        <v>607</v>
      </c>
    </row>
    <row r="17">
      <c r="A17" s="11">
        <f t="shared" si="1"/>
        <v>2</v>
      </c>
      <c r="B17" s="76" t="s">
        <v>608</v>
      </c>
      <c r="C17" s="49" t="s">
        <v>36</v>
      </c>
      <c r="D17" s="77" t="s">
        <v>529</v>
      </c>
      <c r="E17" s="61">
        <v>2.0</v>
      </c>
      <c r="F17" s="61">
        <v>1.0</v>
      </c>
      <c r="G17" s="62" t="s">
        <v>609</v>
      </c>
    </row>
    <row r="18">
      <c r="A18" s="11">
        <f t="shared" si="1"/>
        <v>4</v>
      </c>
      <c r="B18" s="76" t="s">
        <v>610</v>
      </c>
      <c r="C18" s="49" t="s">
        <v>26</v>
      </c>
      <c r="D18" s="77" t="s">
        <v>529</v>
      </c>
      <c r="E18" s="61">
        <v>4.0</v>
      </c>
      <c r="F18" s="61">
        <v>1.0</v>
      </c>
      <c r="G18" s="62" t="s">
        <v>611</v>
      </c>
    </row>
    <row r="19">
      <c r="A19" s="11">
        <f t="shared" si="1"/>
        <v>49</v>
      </c>
      <c r="B19" s="75">
        <v>43928.0</v>
      </c>
      <c r="C19" s="49" t="s">
        <v>612</v>
      </c>
      <c r="D19" s="50" t="s">
        <v>440</v>
      </c>
      <c r="E19" s="61">
        <v>7.0</v>
      </c>
      <c r="F19" s="61">
        <v>7.0</v>
      </c>
      <c r="G19" s="62" t="s">
        <v>613</v>
      </c>
    </row>
    <row r="20">
      <c r="A20" s="11">
        <f t="shared" si="1"/>
        <v>63</v>
      </c>
      <c r="B20" s="76"/>
      <c r="C20" s="49" t="s">
        <v>452</v>
      </c>
      <c r="D20" s="77" t="s">
        <v>529</v>
      </c>
      <c r="E20" s="61">
        <v>7.0</v>
      </c>
      <c r="F20" s="61">
        <v>9.0</v>
      </c>
      <c r="G20" s="62"/>
    </row>
    <row r="21">
      <c r="A21" s="11">
        <f t="shared" si="1"/>
        <v>3</v>
      </c>
      <c r="B21" s="76" t="s">
        <v>614</v>
      </c>
      <c r="C21" s="49" t="s">
        <v>26</v>
      </c>
      <c r="D21" s="50" t="s">
        <v>615</v>
      </c>
      <c r="E21" s="61">
        <v>3.0</v>
      </c>
      <c r="F21" s="61">
        <v>1.0</v>
      </c>
      <c r="G21" s="62" t="s">
        <v>616</v>
      </c>
    </row>
    <row r="22">
      <c r="A22" s="11">
        <f t="shared" si="1"/>
        <v>2</v>
      </c>
      <c r="B22" s="85">
        <v>44080.0</v>
      </c>
      <c r="C22" s="49" t="s">
        <v>617</v>
      </c>
      <c r="D22" s="77" t="s">
        <v>529</v>
      </c>
      <c r="E22" s="61">
        <v>2.0</v>
      </c>
      <c r="F22" s="61">
        <v>1.0</v>
      </c>
      <c r="G22" s="62" t="s">
        <v>618</v>
      </c>
      <c r="H22" s="37" t="s">
        <v>619</v>
      </c>
    </row>
    <row r="23">
      <c r="A23" s="11">
        <f t="shared" si="1"/>
        <v>7</v>
      </c>
      <c r="B23" s="85">
        <v>43836.0</v>
      </c>
      <c r="C23" s="49" t="s">
        <v>72</v>
      </c>
      <c r="D23" s="77" t="s">
        <v>529</v>
      </c>
      <c r="E23" s="61">
        <v>7.0</v>
      </c>
      <c r="F23" s="61">
        <v>1.0</v>
      </c>
      <c r="G23" s="62" t="s">
        <v>620</v>
      </c>
    </row>
    <row r="24">
      <c r="A24" s="11">
        <f t="shared" si="1"/>
        <v>2</v>
      </c>
      <c r="B24" s="76" t="s">
        <v>621</v>
      </c>
      <c r="C24" s="49" t="s">
        <v>622</v>
      </c>
      <c r="D24" s="77" t="s">
        <v>529</v>
      </c>
      <c r="E24" s="61">
        <v>2.0</v>
      </c>
      <c r="F24" s="61">
        <v>1.0</v>
      </c>
      <c r="G24" s="62" t="s">
        <v>623</v>
      </c>
    </row>
    <row r="25">
      <c r="A25" s="11">
        <f t="shared" si="1"/>
        <v>2</v>
      </c>
      <c r="B25" s="76" t="s">
        <v>624</v>
      </c>
      <c r="C25" s="49" t="s">
        <v>625</v>
      </c>
      <c r="D25" s="50" t="s">
        <v>626</v>
      </c>
      <c r="E25" s="61">
        <v>2.0</v>
      </c>
      <c r="F25" s="61">
        <v>1.0</v>
      </c>
      <c r="G25" s="62" t="s">
        <v>627</v>
      </c>
    </row>
    <row r="26">
      <c r="A26" s="11">
        <f t="shared" si="1"/>
        <v>2</v>
      </c>
      <c r="B26" s="76" t="s">
        <v>628</v>
      </c>
      <c r="C26" s="49" t="s">
        <v>243</v>
      </c>
      <c r="D26" s="77" t="s">
        <v>529</v>
      </c>
      <c r="E26" s="61">
        <v>2.0</v>
      </c>
      <c r="F26" s="61">
        <v>1.0</v>
      </c>
      <c r="G26" s="62" t="s">
        <v>629</v>
      </c>
    </row>
    <row r="27">
      <c r="A27" s="11">
        <f t="shared" si="1"/>
        <v>2</v>
      </c>
      <c r="B27" s="76" t="s">
        <v>630</v>
      </c>
      <c r="C27" s="49" t="s">
        <v>243</v>
      </c>
      <c r="D27" s="77" t="s">
        <v>529</v>
      </c>
      <c r="E27" s="61">
        <v>2.0</v>
      </c>
      <c r="F27" s="61">
        <v>1.0</v>
      </c>
      <c r="G27" s="62" t="s">
        <v>631</v>
      </c>
    </row>
    <row r="28">
      <c r="A28" s="11">
        <f t="shared" si="1"/>
        <v>8</v>
      </c>
      <c r="B28" s="76" t="s">
        <v>632</v>
      </c>
      <c r="C28" s="49" t="s">
        <v>243</v>
      </c>
      <c r="D28" s="50" t="s">
        <v>633</v>
      </c>
      <c r="E28" s="61">
        <v>8.0</v>
      </c>
      <c r="F28" s="61">
        <v>1.0</v>
      </c>
      <c r="G28" s="62" t="s">
        <v>634</v>
      </c>
    </row>
    <row r="29">
      <c r="A29" s="11">
        <f t="shared" si="1"/>
        <v>8</v>
      </c>
      <c r="B29" s="76" t="s">
        <v>635</v>
      </c>
      <c r="C29" s="49" t="s">
        <v>636</v>
      </c>
      <c r="D29" s="77" t="s">
        <v>529</v>
      </c>
      <c r="E29" s="61">
        <v>8.0</v>
      </c>
      <c r="F29" s="61">
        <v>1.0</v>
      </c>
      <c r="G29" s="62" t="s">
        <v>637</v>
      </c>
    </row>
    <row r="30">
      <c r="A30" s="11">
        <f t="shared" si="1"/>
        <v>2</v>
      </c>
      <c r="B30" s="76" t="s">
        <v>638</v>
      </c>
      <c r="C30" s="86" t="s">
        <v>26</v>
      </c>
      <c r="D30" s="77" t="s">
        <v>529</v>
      </c>
      <c r="E30" s="61">
        <v>2.0</v>
      </c>
      <c r="F30" s="61">
        <v>1.0</v>
      </c>
      <c r="G30" s="62" t="s">
        <v>639</v>
      </c>
    </row>
    <row r="31">
      <c r="A31" s="11">
        <f t="shared" si="1"/>
        <v>2</v>
      </c>
      <c r="B31" s="76" t="s">
        <v>640</v>
      </c>
      <c r="C31" s="86" t="s">
        <v>151</v>
      </c>
      <c r="D31" s="77" t="s">
        <v>529</v>
      </c>
      <c r="E31" s="61">
        <v>2.0</v>
      </c>
      <c r="F31" s="61">
        <v>1.0</v>
      </c>
      <c r="G31" s="62" t="s">
        <v>641</v>
      </c>
    </row>
    <row r="32">
      <c r="A32" s="11">
        <f t="shared" si="1"/>
        <v>2</v>
      </c>
      <c r="B32" s="76" t="s">
        <v>642</v>
      </c>
      <c r="C32" s="86" t="s">
        <v>151</v>
      </c>
      <c r="D32" s="77" t="s">
        <v>529</v>
      </c>
      <c r="E32" s="61">
        <v>2.0</v>
      </c>
      <c r="F32" s="61">
        <v>1.0</v>
      </c>
      <c r="G32" s="62" t="s">
        <v>643</v>
      </c>
    </row>
    <row r="33">
      <c r="A33" s="11">
        <f t="shared" si="1"/>
        <v>2</v>
      </c>
      <c r="B33" s="76" t="s">
        <v>644</v>
      </c>
      <c r="C33" s="49" t="s">
        <v>636</v>
      </c>
      <c r="D33" s="77" t="s">
        <v>529</v>
      </c>
      <c r="E33" s="61">
        <v>2.0</v>
      </c>
      <c r="F33" s="61">
        <v>1.0</v>
      </c>
      <c r="G33" s="62" t="s">
        <v>645</v>
      </c>
    </row>
    <row r="34">
      <c r="A34" s="11">
        <f t="shared" si="1"/>
        <v>72</v>
      </c>
      <c r="B34" s="76" t="s">
        <v>646</v>
      </c>
      <c r="C34" s="49" t="s">
        <v>647</v>
      </c>
      <c r="D34" s="77" t="s">
        <v>529</v>
      </c>
      <c r="E34" s="61">
        <v>9.0</v>
      </c>
      <c r="F34" s="61">
        <v>8.0</v>
      </c>
      <c r="G34" s="62"/>
    </row>
    <row r="35">
      <c r="A35" s="11">
        <f t="shared" si="1"/>
        <v>3</v>
      </c>
      <c r="B35" s="76" t="s">
        <v>648</v>
      </c>
      <c r="C35" s="86" t="s">
        <v>151</v>
      </c>
      <c r="D35" s="50" t="s">
        <v>42</v>
      </c>
      <c r="E35" s="61">
        <v>3.0</v>
      </c>
      <c r="F35" s="61">
        <v>1.0</v>
      </c>
      <c r="G35" s="62" t="s">
        <v>649</v>
      </c>
    </row>
    <row r="36">
      <c r="A36" s="11">
        <f t="shared" si="1"/>
        <v>6</v>
      </c>
      <c r="B36" s="76" t="s">
        <v>642</v>
      </c>
      <c r="C36" s="49" t="s">
        <v>151</v>
      </c>
      <c r="D36" s="77" t="s">
        <v>529</v>
      </c>
      <c r="E36" s="61">
        <v>6.0</v>
      </c>
      <c r="F36" s="61">
        <v>1.0</v>
      </c>
      <c r="G36" s="62" t="s">
        <v>650</v>
      </c>
    </row>
    <row r="37">
      <c r="A37" s="11">
        <f t="shared" si="1"/>
        <v>4</v>
      </c>
      <c r="B37" s="76" t="s">
        <v>642</v>
      </c>
      <c r="C37" s="49" t="s">
        <v>651</v>
      </c>
      <c r="D37" s="50" t="s">
        <v>633</v>
      </c>
      <c r="E37" s="61">
        <v>4.0</v>
      </c>
      <c r="F37" s="61">
        <v>1.0</v>
      </c>
      <c r="G37" s="62" t="s">
        <v>652</v>
      </c>
    </row>
    <row r="38">
      <c r="A38" s="11">
        <f t="shared" si="1"/>
        <v>4</v>
      </c>
      <c r="B38" s="75">
        <v>44015.0</v>
      </c>
      <c r="C38" s="49" t="s">
        <v>653</v>
      </c>
      <c r="D38" s="50" t="s">
        <v>654</v>
      </c>
      <c r="E38" s="61">
        <v>4.0</v>
      </c>
      <c r="F38" s="61">
        <v>1.0</v>
      </c>
      <c r="G38" s="62" t="s">
        <v>655</v>
      </c>
    </row>
    <row r="39">
      <c r="A39" s="11">
        <f t="shared" si="1"/>
        <v>2</v>
      </c>
      <c r="B39" s="87">
        <v>44014.0</v>
      </c>
      <c r="C39" s="62" t="s">
        <v>107</v>
      </c>
      <c r="D39" s="77" t="s">
        <v>529</v>
      </c>
      <c r="E39" s="88">
        <v>2.0</v>
      </c>
      <c r="F39" s="88">
        <v>1.0</v>
      </c>
      <c r="G39" s="62" t="s">
        <v>656</v>
      </c>
    </row>
    <row r="40">
      <c r="A40" s="11">
        <f t="shared" si="1"/>
        <v>5</v>
      </c>
      <c r="B40" s="87">
        <v>44014.0</v>
      </c>
      <c r="C40" s="62" t="s">
        <v>653</v>
      </c>
      <c r="D40" s="77" t="s">
        <v>657</v>
      </c>
      <c r="E40" s="88">
        <v>5.0</v>
      </c>
      <c r="F40" s="88">
        <v>1.0</v>
      </c>
      <c r="G40" s="62" t="s">
        <v>658</v>
      </c>
    </row>
    <row r="41">
      <c r="A41" s="11">
        <f t="shared" si="1"/>
        <v>5</v>
      </c>
      <c r="B41" s="75">
        <v>43869.0</v>
      </c>
      <c r="C41" s="49" t="s">
        <v>36</v>
      </c>
      <c r="D41" s="77" t="s">
        <v>23</v>
      </c>
      <c r="E41" s="61">
        <v>5.0</v>
      </c>
      <c r="F41" s="61">
        <v>1.0</v>
      </c>
      <c r="G41" s="62" t="s">
        <v>659</v>
      </c>
    </row>
    <row r="42">
      <c r="A42" s="11">
        <f t="shared" si="1"/>
        <v>0</v>
      </c>
      <c r="B42" s="76"/>
      <c r="C42" s="86"/>
      <c r="D42" s="50"/>
      <c r="E42" s="61"/>
      <c r="F42" s="61"/>
      <c r="G42" s="62"/>
    </row>
    <row r="43">
      <c r="A43" s="11">
        <f t="shared" si="1"/>
        <v>0</v>
      </c>
      <c r="B43" s="76"/>
      <c r="C43" s="49"/>
      <c r="D43" s="77"/>
      <c r="E43" s="61"/>
      <c r="F43" s="61"/>
      <c r="G43" s="62"/>
    </row>
    <row r="44">
      <c r="A44" s="11">
        <f t="shared" si="1"/>
        <v>0</v>
      </c>
      <c r="B44" s="76"/>
      <c r="C44" s="49"/>
      <c r="D44" s="50"/>
      <c r="E44" s="61"/>
      <c r="F44" s="61"/>
      <c r="G44" s="62"/>
    </row>
    <row r="45">
      <c r="A45" s="11">
        <f t="shared" si="1"/>
        <v>0</v>
      </c>
      <c r="B45" s="75"/>
      <c r="C45" s="49"/>
      <c r="D45" s="50"/>
      <c r="E45" s="61"/>
      <c r="F45" s="61"/>
      <c r="G45" s="62"/>
    </row>
    <row r="46">
      <c r="A46" s="11">
        <f t="shared" si="1"/>
        <v>0</v>
      </c>
      <c r="B46" s="87"/>
      <c r="C46" s="62"/>
      <c r="D46" s="77"/>
      <c r="E46" s="88"/>
      <c r="F46" s="88"/>
      <c r="G46" s="62"/>
    </row>
    <row r="47">
      <c r="A47" s="11">
        <f t="shared" si="1"/>
        <v>0</v>
      </c>
      <c r="B47" s="87"/>
      <c r="C47" s="62"/>
      <c r="D47" s="77"/>
      <c r="E47" s="88"/>
      <c r="F47" s="88"/>
      <c r="G47" s="62"/>
    </row>
    <row r="48">
      <c r="A48" s="89"/>
      <c r="D48" s="18"/>
      <c r="E48" s="19"/>
      <c r="F48" s="19"/>
    </row>
    <row r="49">
      <c r="D49" s="18"/>
      <c r="E49" s="19"/>
      <c r="F49" s="19"/>
    </row>
    <row r="50">
      <c r="D50" s="18"/>
      <c r="E50" s="19"/>
      <c r="F50" s="19"/>
    </row>
    <row r="51">
      <c r="D51" s="18"/>
      <c r="E51" s="19"/>
      <c r="F51" s="19"/>
    </row>
    <row r="52">
      <c r="D52" s="18"/>
      <c r="E52" s="19"/>
      <c r="F52" s="19"/>
    </row>
    <row r="53">
      <c r="D53" s="18"/>
      <c r="E53" s="19"/>
      <c r="F53" s="19"/>
    </row>
    <row r="54">
      <c r="D54" s="18"/>
      <c r="E54" s="19"/>
      <c r="F54" s="19"/>
    </row>
    <row r="55">
      <c r="D55" s="18"/>
      <c r="E55" s="19"/>
      <c r="F55" s="19"/>
    </row>
    <row r="56">
      <c r="D56" s="18"/>
      <c r="E56" s="19"/>
      <c r="F56" s="19"/>
    </row>
    <row r="57">
      <c r="D57" s="18"/>
      <c r="E57" s="19"/>
      <c r="F57" s="19"/>
    </row>
    <row r="58">
      <c r="D58" s="18"/>
      <c r="E58" s="19"/>
      <c r="F58" s="19"/>
    </row>
    <row r="59">
      <c r="D59" s="18"/>
      <c r="E59" s="19"/>
      <c r="F59" s="19"/>
    </row>
    <row r="60">
      <c r="D60" s="18"/>
      <c r="E60" s="19"/>
      <c r="F60" s="19"/>
    </row>
    <row r="61">
      <c r="D61" s="18"/>
      <c r="E61" s="19"/>
      <c r="F61" s="19"/>
    </row>
    <row r="62">
      <c r="D62" s="18"/>
      <c r="E62" s="19"/>
      <c r="F62" s="19"/>
    </row>
    <row r="63">
      <c r="D63" s="18"/>
      <c r="E63" s="19"/>
      <c r="F63" s="19"/>
    </row>
    <row r="64">
      <c r="D64" s="18"/>
      <c r="E64" s="19"/>
      <c r="F64" s="19"/>
    </row>
    <row r="65">
      <c r="D65" s="18"/>
      <c r="E65" s="19"/>
      <c r="F65" s="19"/>
    </row>
    <row r="66">
      <c r="D66" s="18"/>
      <c r="E66" s="19"/>
      <c r="F66" s="19"/>
    </row>
    <row r="67">
      <c r="D67" s="18"/>
      <c r="E67" s="19"/>
      <c r="F67" s="19"/>
    </row>
    <row r="68">
      <c r="D68" s="18"/>
      <c r="E68" s="19"/>
      <c r="F68" s="19"/>
    </row>
    <row r="69">
      <c r="D69" s="18"/>
      <c r="E69" s="19"/>
      <c r="F69" s="19"/>
    </row>
    <row r="70">
      <c r="D70" s="18"/>
      <c r="E70" s="19"/>
      <c r="F70" s="19"/>
    </row>
    <row r="71">
      <c r="D71" s="18"/>
      <c r="E71" s="19"/>
      <c r="F71" s="19"/>
    </row>
    <row r="72">
      <c r="D72" s="18"/>
      <c r="E72" s="19"/>
      <c r="F72" s="19"/>
    </row>
    <row r="73">
      <c r="D73" s="18"/>
      <c r="E73" s="19"/>
      <c r="F73" s="19"/>
    </row>
    <row r="74">
      <c r="D74" s="18"/>
      <c r="E74" s="19"/>
      <c r="F74" s="19"/>
    </row>
    <row r="75">
      <c r="D75" s="18"/>
      <c r="E75" s="19"/>
      <c r="F75" s="19"/>
    </row>
    <row r="76">
      <c r="D76" s="18"/>
      <c r="E76" s="19"/>
      <c r="F76" s="19"/>
    </row>
    <row r="77">
      <c r="D77" s="18"/>
      <c r="E77" s="19"/>
      <c r="F77" s="19"/>
    </row>
    <row r="78">
      <c r="D78" s="18"/>
      <c r="E78" s="19"/>
      <c r="F78" s="19"/>
    </row>
    <row r="79">
      <c r="D79" s="18"/>
      <c r="E79" s="19"/>
      <c r="F79" s="19"/>
    </row>
    <row r="80">
      <c r="D80" s="18"/>
      <c r="E80" s="19"/>
      <c r="F80" s="19"/>
    </row>
    <row r="81">
      <c r="D81" s="18"/>
      <c r="E81" s="19"/>
      <c r="F81" s="19"/>
    </row>
    <row r="82">
      <c r="D82" s="18"/>
      <c r="E82" s="19"/>
      <c r="F82" s="19"/>
    </row>
    <row r="83">
      <c r="D83" s="18"/>
      <c r="E83" s="19"/>
      <c r="F83" s="19"/>
    </row>
    <row r="84">
      <c r="D84" s="18"/>
      <c r="E84" s="19"/>
      <c r="F84" s="19"/>
    </row>
    <row r="85">
      <c r="D85" s="18"/>
      <c r="E85" s="19"/>
      <c r="F85" s="19"/>
    </row>
    <row r="86">
      <c r="D86" s="18"/>
      <c r="E86" s="19"/>
      <c r="F86" s="19"/>
    </row>
    <row r="87">
      <c r="D87" s="18"/>
      <c r="E87" s="19"/>
      <c r="F87" s="19"/>
    </row>
    <row r="88">
      <c r="D88" s="18"/>
      <c r="E88" s="19"/>
      <c r="F88" s="19"/>
    </row>
    <row r="89">
      <c r="D89" s="18"/>
      <c r="E89" s="19"/>
      <c r="F89" s="19"/>
    </row>
    <row r="90">
      <c r="D90" s="18"/>
      <c r="E90" s="19"/>
      <c r="F90" s="19"/>
    </row>
    <row r="91">
      <c r="D91" s="18"/>
      <c r="E91" s="19"/>
      <c r="F91" s="19"/>
    </row>
    <row r="92">
      <c r="D92" s="18"/>
      <c r="E92" s="19"/>
      <c r="F92" s="19"/>
    </row>
    <row r="93">
      <c r="D93" s="18"/>
      <c r="E93" s="19"/>
      <c r="F93" s="19"/>
    </row>
    <row r="94">
      <c r="D94" s="18"/>
      <c r="E94" s="19"/>
      <c r="F94" s="19"/>
    </row>
    <row r="95">
      <c r="D95" s="18"/>
      <c r="E95" s="19"/>
      <c r="F95" s="19"/>
    </row>
    <row r="96">
      <c r="D96" s="18"/>
      <c r="E96" s="19"/>
      <c r="F96" s="19"/>
    </row>
    <row r="97">
      <c r="D97" s="18"/>
      <c r="E97" s="19"/>
      <c r="F97" s="19"/>
    </row>
    <row r="98">
      <c r="D98" s="18"/>
      <c r="E98" s="19"/>
      <c r="F98" s="19"/>
    </row>
    <row r="99">
      <c r="D99" s="18"/>
      <c r="E99" s="19"/>
      <c r="F99" s="19"/>
    </row>
    <row r="100">
      <c r="D100" s="18"/>
      <c r="E100" s="19"/>
      <c r="F100" s="19"/>
    </row>
    <row r="101">
      <c r="D101" s="18"/>
      <c r="E101" s="19"/>
      <c r="F101" s="19"/>
    </row>
    <row r="102">
      <c r="D102" s="18"/>
      <c r="E102" s="19"/>
      <c r="F102" s="19"/>
    </row>
    <row r="103">
      <c r="D103" s="18"/>
      <c r="E103" s="19"/>
      <c r="F103" s="19"/>
    </row>
    <row r="104">
      <c r="D104" s="18"/>
      <c r="E104" s="19"/>
      <c r="F104" s="19"/>
    </row>
    <row r="105">
      <c r="D105" s="18"/>
      <c r="E105" s="19"/>
      <c r="F105" s="19"/>
    </row>
    <row r="106">
      <c r="D106" s="18"/>
      <c r="E106" s="19"/>
      <c r="F106" s="19"/>
    </row>
    <row r="107">
      <c r="D107" s="18"/>
      <c r="E107" s="19"/>
      <c r="F107" s="19"/>
    </row>
    <row r="108">
      <c r="D108" s="18"/>
      <c r="E108" s="19"/>
      <c r="F108" s="19"/>
    </row>
    <row r="109">
      <c r="D109" s="18"/>
      <c r="E109" s="19"/>
      <c r="F109" s="19"/>
    </row>
    <row r="110">
      <c r="D110" s="18"/>
      <c r="E110" s="19"/>
      <c r="F110" s="19"/>
    </row>
    <row r="111">
      <c r="D111" s="18"/>
      <c r="E111" s="19"/>
      <c r="F111" s="19"/>
    </row>
    <row r="112">
      <c r="D112" s="18"/>
      <c r="E112" s="19"/>
      <c r="F112" s="19"/>
    </row>
    <row r="113">
      <c r="D113" s="18"/>
      <c r="E113" s="19"/>
      <c r="F113" s="19"/>
    </row>
    <row r="114">
      <c r="D114" s="18"/>
      <c r="E114" s="19"/>
      <c r="F114" s="19"/>
    </row>
    <row r="115">
      <c r="D115" s="18"/>
      <c r="E115" s="19"/>
      <c r="F115" s="19"/>
    </row>
    <row r="116">
      <c r="D116" s="18"/>
      <c r="E116" s="19"/>
      <c r="F116" s="19"/>
    </row>
    <row r="117">
      <c r="D117" s="18"/>
      <c r="E117" s="19"/>
      <c r="F117" s="19"/>
    </row>
    <row r="118">
      <c r="D118" s="18"/>
      <c r="E118" s="19"/>
      <c r="F118" s="19"/>
    </row>
    <row r="119">
      <c r="D119" s="18"/>
      <c r="E119" s="19"/>
      <c r="F119" s="19"/>
    </row>
    <row r="120">
      <c r="D120" s="18"/>
      <c r="E120" s="19"/>
      <c r="F120" s="19"/>
    </row>
    <row r="121">
      <c r="D121" s="18"/>
      <c r="E121" s="19"/>
      <c r="F121" s="19"/>
    </row>
    <row r="122">
      <c r="D122" s="18"/>
      <c r="E122" s="19"/>
      <c r="F122" s="19"/>
    </row>
    <row r="123">
      <c r="D123" s="18"/>
      <c r="E123" s="19"/>
      <c r="F123" s="19"/>
    </row>
    <row r="124">
      <c r="D124" s="18"/>
      <c r="E124" s="19"/>
      <c r="F124" s="19"/>
    </row>
    <row r="125">
      <c r="D125" s="18"/>
      <c r="E125" s="19"/>
      <c r="F125" s="19"/>
    </row>
    <row r="126">
      <c r="D126" s="18"/>
      <c r="E126" s="19"/>
      <c r="F126" s="19"/>
    </row>
    <row r="127">
      <c r="D127" s="18"/>
      <c r="E127" s="19"/>
      <c r="F127" s="19"/>
    </row>
    <row r="128">
      <c r="D128" s="18"/>
      <c r="E128" s="19"/>
      <c r="F128" s="19"/>
    </row>
    <row r="129">
      <c r="D129" s="18"/>
      <c r="E129" s="19"/>
      <c r="F129" s="19"/>
    </row>
    <row r="130">
      <c r="D130" s="18"/>
      <c r="E130" s="19"/>
      <c r="F130" s="19"/>
    </row>
    <row r="131">
      <c r="D131" s="18"/>
      <c r="E131" s="19"/>
      <c r="F131" s="19"/>
    </row>
    <row r="132">
      <c r="D132" s="18"/>
      <c r="E132" s="19"/>
      <c r="F132" s="19"/>
    </row>
    <row r="133">
      <c r="D133" s="18"/>
      <c r="E133" s="19"/>
      <c r="F133" s="19"/>
    </row>
    <row r="134">
      <c r="D134" s="18"/>
      <c r="E134" s="19"/>
      <c r="F134" s="19"/>
    </row>
    <row r="135">
      <c r="D135" s="18"/>
      <c r="E135" s="19"/>
      <c r="F135" s="19"/>
    </row>
    <row r="136">
      <c r="D136" s="18"/>
      <c r="E136" s="19"/>
      <c r="F136" s="19"/>
    </row>
    <row r="137">
      <c r="D137" s="18"/>
      <c r="E137" s="19"/>
      <c r="F137" s="19"/>
    </row>
    <row r="138">
      <c r="D138" s="18"/>
      <c r="E138" s="19"/>
      <c r="F138" s="19"/>
    </row>
    <row r="139">
      <c r="D139" s="18"/>
      <c r="E139" s="19"/>
      <c r="F139" s="19"/>
    </row>
    <row r="140">
      <c r="D140" s="18"/>
      <c r="E140" s="19"/>
      <c r="F140" s="19"/>
    </row>
    <row r="141">
      <c r="D141" s="18"/>
      <c r="E141" s="19"/>
      <c r="F141" s="19"/>
    </row>
    <row r="142">
      <c r="D142" s="18"/>
      <c r="E142" s="19"/>
      <c r="F142" s="19"/>
    </row>
    <row r="143">
      <c r="D143" s="18"/>
      <c r="E143" s="19"/>
      <c r="F143" s="19"/>
    </row>
    <row r="144">
      <c r="D144" s="18"/>
      <c r="E144" s="19"/>
      <c r="F144" s="19"/>
    </row>
    <row r="145">
      <c r="D145" s="18"/>
      <c r="E145" s="19"/>
      <c r="F145" s="19"/>
    </row>
    <row r="146">
      <c r="D146" s="18"/>
      <c r="E146" s="19"/>
      <c r="F146" s="19"/>
    </row>
    <row r="147">
      <c r="D147" s="18"/>
      <c r="E147" s="19"/>
      <c r="F147" s="19"/>
    </row>
    <row r="148">
      <c r="D148" s="18"/>
      <c r="E148" s="19"/>
      <c r="F148" s="19"/>
    </row>
    <row r="149">
      <c r="D149" s="18"/>
      <c r="E149" s="19"/>
      <c r="F149" s="19"/>
    </row>
    <row r="150">
      <c r="D150" s="18"/>
      <c r="E150" s="19"/>
      <c r="F150" s="19"/>
    </row>
    <row r="151">
      <c r="D151" s="18"/>
      <c r="E151" s="19"/>
      <c r="F151" s="19"/>
    </row>
    <row r="152">
      <c r="D152" s="18"/>
      <c r="E152" s="19"/>
      <c r="F152" s="19"/>
    </row>
    <row r="153">
      <c r="D153" s="18"/>
      <c r="E153" s="19"/>
      <c r="F153" s="19"/>
    </row>
    <row r="154">
      <c r="D154" s="18"/>
      <c r="E154" s="19"/>
      <c r="F154" s="19"/>
    </row>
    <row r="155">
      <c r="D155" s="18"/>
      <c r="E155" s="19"/>
      <c r="F155" s="19"/>
    </row>
    <row r="156">
      <c r="D156" s="18"/>
      <c r="E156" s="19"/>
      <c r="F156" s="19"/>
    </row>
    <row r="157">
      <c r="D157" s="18"/>
      <c r="E157" s="19"/>
      <c r="F157" s="19"/>
    </row>
    <row r="158">
      <c r="D158" s="18"/>
      <c r="E158" s="19"/>
      <c r="F158" s="19"/>
    </row>
    <row r="159">
      <c r="D159" s="18"/>
      <c r="E159" s="19"/>
      <c r="F159" s="19"/>
    </row>
    <row r="160">
      <c r="D160" s="18"/>
      <c r="E160" s="19"/>
      <c r="F160" s="19"/>
    </row>
    <row r="161">
      <c r="D161" s="18"/>
      <c r="E161" s="19"/>
      <c r="F161" s="19"/>
    </row>
    <row r="162">
      <c r="D162" s="18"/>
      <c r="E162" s="19"/>
      <c r="F162" s="19"/>
    </row>
    <row r="163">
      <c r="D163" s="18"/>
      <c r="E163" s="19"/>
      <c r="F163" s="19"/>
    </row>
    <row r="164">
      <c r="D164" s="18"/>
      <c r="E164" s="19"/>
      <c r="F164" s="19"/>
    </row>
    <row r="165">
      <c r="D165" s="18"/>
      <c r="E165" s="19"/>
      <c r="F165" s="19"/>
    </row>
    <row r="166">
      <c r="D166" s="18"/>
      <c r="E166" s="19"/>
      <c r="F166" s="19"/>
    </row>
    <row r="167">
      <c r="D167" s="18"/>
      <c r="E167" s="19"/>
      <c r="F167" s="19"/>
    </row>
    <row r="168">
      <c r="D168" s="18"/>
      <c r="E168" s="19"/>
      <c r="F168" s="19"/>
    </row>
    <row r="169">
      <c r="D169" s="18"/>
      <c r="E169" s="19"/>
      <c r="F169" s="19"/>
    </row>
    <row r="170">
      <c r="D170" s="18"/>
      <c r="E170" s="19"/>
      <c r="F170" s="19"/>
    </row>
    <row r="171">
      <c r="D171" s="18"/>
      <c r="E171" s="19"/>
      <c r="F171" s="19"/>
    </row>
    <row r="172">
      <c r="D172" s="18"/>
      <c r="E172" s="19"/>
      <c r="F172" s="19"/>
    </row>
    <row r="173">
      <c r="D173" s="18"/>
      <c r="E173" s="19"/>
      <c r="F173" s="19"/>
    </row>
    <row r="174">
      <c r="D174" s="18"/>
      <c r="E174" s="19"/>
      <c r="F174" s="19"/>
    </row>
    <row r="175">
      <c r="D175" s="18"/>
      <c r="E175" s="19"/>
      <c r="F175" s="19"/>
    </row>
    <row r="176">
      <c r="D176" s="18"/>
      <c r="E176" s="19"/>
      <c r="F176" s="19"/>
    </row>
    <row r="177">
      <c r="D177" s="18"/>
      <c r="E177" s="19"/>
      <c r="F177" s="19"/>
    </row>
    <row r="178">
      <c r="D178" s="18"/>
      <c r="E178" s="19"/>
      <c r="F178" s="19"/>
    </row>
    <row r="179">
      <c r="D179" s="18"/>
      <c r="E179" s="19"/>
      <c r="F179" s="19"/>
    </row>
    <row r="180">
      <c r="D180" s="18"/>
      <c r="E180" s="19"/>
      <c r="F180" s="19"/>
    </row>
    <row r="181">
      <c r="D181" s="18"/>
      <c r="E181" s="19"/>
      <c r="F181" s="19"/>
    </row>
    <row r="182">
      <c r="D182" s="18"/>
      <c r="E182" s="19"/>
      <c r="F182" s="19"/>
    </row>
    <row r="183">
      <c r="D183" s="18"/>
      <c r="E183" s="19"/>
      <c r="F183" s="19"/>
    </row>
    <row r="184">
      <c r="D184" s="18"/>
      <c r="E184" s="19"/>
      <c r="F184" s="19"/>
    </row>
    <row r="185">
      <c r="D185" s="18"/>
      <c r="E185" s="19"/>
      <c r="F185" s="19"/>
    </row>
    <row r="186">
      <c r="D186" s="18"/>
      <c r="E186" s="19"/>
      <c r="F186" s="19"/>
    </row>
    <row r="187">
      <c r="D187" s="18"/>
      <c r="E187" s="19"/>
      <c r="F187" s="19"/>
    </row>
    <row r="188">
      <c r="D188" s="18"/>
      <c r="E188" s="19"/>
      <c r="F188" s="19"/>
    </row>
    <row r="189">
      <c r="D189" s="18"/>
      <c r="E189" s="19"/>
      <c r="F189" s="19"/>
    </row>
    <row r="190">
      <c r="D190" s="18"/>
      <c r="E190" s="19"/>
      <c r="F190" s="19"/>
    </row>
    <row r="191">
      <c r="D191" s="18"/>
      <c r="E191" s="19"/>
      <c r="F191" s="19"/>
    </row>
    <row r="192">
      <c r="D192" s="18"/>
      <c r="E192" s="19"/>
      <c r="F192" s="19"/>
    </row>
    <row r="193">
      <c r="D193" s="18"/>
      <c r="E193" s="19"/>
      <c r="F193" s="19"/>
    </row>
    <row r="194">
      <c r="D194" s="18"/>
      <c r="E194" s="19"/>
      <c r="F194" s="19"/>
    </row>
    <row r="195">
      <c r="D195" s="18"/>
      <c r="E195" s="19"/>
      <c r="F195" s="19"/>
    </row>
    <row r="196">
      <c r="D196" s="18"/>
      <c r="E196" s="19"/>
      <c r="F196" s="19"/>
    </row>
    <row r="197">
      <c r="D197" s="18"/>
      <c r="E197" s="19"/>
      <c r="F197" s="19"/>
    </row>
    <row r="198">
      <c r="D198" s="18"/>
      <c r="E198" s="19"/>
      <c r="F198" s="19"/>
    </row>
    <row r="199">
      <c r="D199" s="18"/>
      <c r="E199" s="19"/>
      <c r="F199" s="19"/>
    </row>
    <row r="200">
      <c r="D200" s="18"/>
      <c r="E200" s="19"/>
      <c r="F200" s="19"/>
    </row>
    <row r="201">
      <c r="D201" s="18"/>
      <c r="E201" s="19"/>
      <c r="F201" s="19"/>
    </row>
    <row r="202">
      <c r="D202" s="18"/>
      <c r="E202" s="19"/>
      <c r="F202" s="19"/>
    </row>
    <row r="203">
      <c r="D203" s="18"/>
      <c r="E203" s="19"/>
      <c r="F203" s="19"/>
    </row>
    <row r="204">
      <c r="D204" s="18"/>
      <c r="E204" s="19"/>
      <c r="F204" s="19"/>
    </row>
    <row r="205">
      <c r="D205" s="18"/>
      <c r="E205" s="19"/>
      <c r="F205" s="19"/>
    </row>
    <row r="206">
      <c r="D206" s="18"/>
      <c r="E206" s="19"/>
      <c r="F206" s="19"/>
    </row>
    <row r="207">
      <c r="D207" s="18"/>
      <c r="E207" s="19"/>
      <c r="F207" s="19"/>
    </row>
    <row r="208">
      <c r="D208" s="18"/>
      <c r="E208" s="19"/>
      <c r="F208" s="19"/>
    </row>
    <row r="209">
      <c r="D209" s="18"/>
      <c r="E209" s="19"/>
      <c r="F209" s="19"/>
    </row>
    <row r="210">
      <c r="D210" s="18"/>
      <c r="E210" s="19"/>
      <c r="F210" s="19"/>
    </row>
    <row r="211">
      <c r="D211" s="18"/>
      <c r="E211" s="19"/>
      <c r="F211" s="19"/>
    </row>
    <row r="212">
      <c r="D212" s="18"/>
      <c r="E212" s="19"/>
      <c r="F212" s="19"/>
    </row>
    <row r="213">
      <c r="D213" s="18"/>
      <c r="E213" s="19"/>
      <c r="F213" s="19"/>
    </row>
    <row r="214">
      <c r="D214" s="18"/>
      <c r="E214" s="19"/>
      <c r="F214" s="19"/>
    </row>
    <row r="215">
      <c r="D215" s="18"/>
      <c r="E215" s="19"/>
      <c r="F215" s="19"/>
    </row>
    <row r="216">
      <c r="D216" s="18"/>
      <c r="E216" s="19"/>
      <c r="F216" s="19"/>
    </row>
    <row r="217">
      <c r="D217" s="18"/>
      <c r="E217" s="19"/>
      <c r="F217" s="19"/>
    </row>
    <row r="218">
      <c r="D218" s="18"/>
      <c r="E218" s="19"/>
      <c r="F218" s="19"/>
    </row>
    <row r="219">
      <c r="D219" s="18"/>
      <c r="E219" s="19"/>
      <c r="F219" s="19"/>
    </row>
    <row r="220">
      <c r="D220" s="18"/>
      <c r="E220" s="19"/>
      <c r="F220" s="19"/>
    </row>
    <row r="221">
      <c r="D221" s="18"/>
      <c r="E221" s="19"/>
      <c r="F221" s="19"/>
    </row>
    <row r="222">
      <c r="D222" s="18"/>
      <c r="E222" s="19"/>
      <c r="F222" s="19"/>
    </row>
    <row r="223">
      <c r="D223" s="18"/>
      <c r="E223" s="19"/>
      <c r="F223" s="19"/>
    </row>
    <row r="224">
      <c r="D224" s="18"/>
      <c r="E224" s="19"/>
      <c r="F224" s="19"/>
    </row>
    <row r="225">
      <c r="D225" s="18"/>
      <c r="E225" s="19"/>
      <c r="F225" s="19"/>
    </row>
    <row r="226">
      <c r="D226" s="18"/>
      <c r="E226" s="19"/>
      <c r="F226" s="19"/>
    </row>
    <row r="227">
      <c r="D227" s="18"/>
      <c r="E227" s="19"/>
      <c r="F227" s="19"/>
    </row>
    <row r="228">
      <c r="D228" s="18"/>
      <c r="E228" s="19"/>
      <c r="F228" s="19"/>
    </row>
    <row r="229">
      <c r="D229" s="18"/>
      <c r="E229" s="19"/>
      <c r="F229" s="19"/>
    </row>
    <row r="230">
      <c r="D230" s="18"/>
      <c r="E230" s="19"/>
      <c r="F230" s="19"/>
    </row>
    <row r="231">
      <c r="D231" s="18"/>
      <c r="E231" s="19"/>
      <c r="F231" s="19"/>
    </row>
    <row r="232">
      <c r="D232" s="18"/>
      <c r="E232" s="19"/>
      <c r="F232" s="19"/>
    </row>
    <row r="233">
      <c r="D233" s="18"/>
      <c r="E233" s="19"/>
      <c r="F233" s="19"/>
    </row>
    <row r="234">
      <c r="D234" s="18"/>
      <c r="E234" s="19"/>
      <c r="F234" s="19"/>
    </row>
    <row r="235">
      <c r="D235" s="18"/>
      <c r="E235" s="19"/>
      <c r="F235" s="19"/>
    </row>
    <row r="236">
      <c r="D236" s="18"/>
      <c r="E236" s="19"/>
      <c r="F236" s="19"/>
    </row>
    <row r="237">
      <c r="D237" s="18"/>
      <c r="E237" s="19"/>
      <c r="F237" s="19"/>
    </row>
    <row r="238">
      <c r="D238" s="18"/>
      <c r="E238" s="19"/>
      <c r="F238" s="19"/>
    </row>
    <row r="239">
      <c r="D239" s="18"/>
      <c r="E239" s="19"/>
      <c r="F239" s="19"/>
    </row>
    <row r="240">
      <c r="D240" s="18"/>
      <c r="E240" s="19"/>
      <c r="F240" s="19"/>
    </row>
    <row r="241">
      <c r="D241" s="18"/>
      <c r="E241" s="19"/>
      <c r="F241" s="19"/>
    </row>
    <row r="242">
      <c r="D242" s="18"/>
      <c r="E242" s="19"/>
      <c r="F242" s="19"/>
    </row>
    <row r="243">
      <c r="D243" s="18"/>
      <c r="E243" s="19"/>
      <c r="F243" s="19"/>
    </row>
    <row r="244">
      <c r="D244" s="18"/>
      <c r="E244" s="19"/>
      <c r="F244" s="19"/>
    </row>
    <row r="245">
      <c r="D245" s="18"/>
      <c r="E245" s="19"/>
      <c r="F245" s="19"/>
    </row>
    <row r="246">
      <c r="D246" s="18"/>
      <c r="E246" s="19"/>
      <c r="F246" s="19"/>
    </row>
    <row r="247">
      <c r="D247" s="18"/>
      <c r="E247" s="19"/>
      <c r="F247" s="19"/>
    </row>
    <row r="248">
      <c r="D248" s="18"/>
      <c r="E248" s="19"/>
      <c r="F248" s="19"/>
    </row>
    <row r="249">
      <c r="D249" s="18"/>
      <c r="E249" s="19"/>
      <c r="F249" s="19"/>
    </row>
    <row r="250">
      <c r="D250" s="18"/>
      <c r="E250" s="19"/>
      <c r="F250" s="19"/>
    </row>
    <row r="251">
      <c r="D251" s="18"/>
      <c r="E251" s="19"/>
      <c r="F251" s="19"/>
    </row>
    <row r="252">
      <c r="D252" s="18"/>
      <c r="E252" s="19"/>
      <c r="F252" s="19"/>
    </row>
    <row r="253">
      <c r="D253" s="18"/>
      <c r="E253" s="19"/>
      <c r="F253" s="19"/>
    </row>
    <row r="254">
      <c r="D254" s="18"/>
      <c r="E254" s="19"/>
      <c r="F254" s="19"/>
    </row>
    <row r="255">
      <c r="D255" s="18"/>
      <c r="E255" s="19"/>
      <c r="F255" s="19"/>
    </row>
    <row r="256">
      <c r="D256" s="18"/>
      <c r="E256" s="19"/>
      <c r="F256" s="19"/>
    </row>
    <row r="257">
      <c r="D257" s="18"/>
      <c r="E257" s="19"/>
      <c r="F257" s="19"/>
    </row>
    <row r="258">
      <c r="D258" s="18"/>
      <c r="E258" s="19"/>
      <c r="F258" s="19"/>
    </row>
    <row r="259">
      <c r="D259" s="18"/>
      <c r="E259" s="19"/>
      <c r="F259" s="19"/>
    </row>
    <row r="260">
      <c r="D260" s="18"/>
      <c r="E260" s="19"/>
      <c r="F260" s="19"/>
    </row>
    <row r="261">
      <c r="D261" s="18"/>
      <c r="E261" s="19"/>
      <c r="F261" s="19"/>
    </row>
    <row r="262">
      <c r="D262" s="18"/>
      <c r="E262" s="19"/>
      <c r="F262" s="19"/>
    </row>
    <row r="263">
      <c r="D263" s="18"/>
      <c r="E263" s="19"/>
      <c r="F263" s="19"/>
    </row>
    <row r="264">
      <c r="D264" s="18"/>
      <c r="E264" s="19"/>
      <c r="F264" s="19"/>
    </row>
    <row r="265">
      <c r="D265" s="18"/>
      <c r="E265" s="19"/>
      <c r="F265" s="19"/>
    </row>
    <row r="266">
      <c r="D266" s="18"/>
      <c r="E266" s="19"/>
      <c r="F266" s="19"/>
    </row>
    <row r="267">
      <c r="D267" s="18"/>
      <c r="E267" s="19"/>
      <c r="F267" s="19"/>
    </row>
    <row r="268">
      <c r="D268" s="18"/>
      <c r="E268" s="19"/>
      <c r="F268" s="19"/>
    </row>
    <row r="269">
      <c r="D269" s="18"/>
      <c r="E269" s="19"/>
      <c r="F269" s="19"/>
    </row>
    <row r="270">
      <c r="D270" s="18"/>
      <c r="E270" s="19"/>
      <c r="F270" s="19"/>
    </row>
    <row r="271">
      <c r="D271" s="18"/>
      <c r="E271" s="19"/>
      <c r="F271" s="19"/>
    </row>
    <row r="272">
      <c r="D272" s="18"/>
      <c r="E272" s="19"/>
      <c r="F272" s="19"/>
    </row>
    <row r="273">
      <c r="D273" s="18"/>
      <c r="E273" s="19"/>
      <c r="F273" s="19"/>
    </row>
    <row r="274">
      <c r="D274" s="18"/>
      <c r="E274" s="19"/>
      <c r="F274" s="19"/>
    </row>
    <row r="275">
      <c r="D275" s="18"/>
      <c r="E275" s="19"/>
      <c r="F275" s="19"/>
    </row>
    <row r="276">
      <c r="D276" s="18"/>
      <c r="E276" s="19"/>
      <c r="F276" s="19"/>
    </row>
    <row r="277">
      <c r="D277" s="18"/>
      <c r="E277" s="19"/>
      <c r="F277" s="19"/>
    </row>
    <row r="278">
      <c r="D278" s="18"/>
      <c r="E278" s="19"/>
      <c r="F278" s="19"/>
    </row>
    <row r="279">
      <c r="D279" s="18"/>
      <c r="E279" s="19"/>
      <c r="F279" s="19"/>
    </row>
    <row r="280">
      <c r="D280" s="18"/>
      <c r="E280" s="19"/>
      <c r="F280" s="19"/>
    </row>
    <row r="281">
      <c r="D281" s="18"/>
      <c r="E281" s="19"/>
      <c r="F281" s="19"/>
    </row>
    <row r="282">
      <c r="D282" s="18"/>
      <c r="E282" s="19"/>
      <c r="F282" s="19"/>
    </row>
    <row r="283">
      <c r="D283" s="18"/>
      <c r="E283" s="19"/>
      <c r="F283" s="19"/>
    </row>
    <row r="284">
      <c r="D284" s="18"/>
      <c r="E284" s="19"/>
      <c r="F284" s="19"/>
    </row>
    <row r="285">
      <c r="D285" s="18"/>
      <c r="E285" s="19"/>
      <c r="F285" s="19"/>
    </row>
    <row r="286">
      <c r="D286" s="18"/>
      <c r="E286" s="19"/>
      <c r="F286" s="19"/>
    </row>
    <row r="287">
      <c r="D287" s="18"/>
      <c r="E287" s="19"/>
      <c r="F287" s="19"/>
    </row>
    <row r="288">
      <c r="D288" s="18"/>
      <c r="E288" s="19"/>
      <c r="F288" s="19"/>
    </row>
    <row r="289">
      <c r="D289" s="18"/>
      <c r="E289" s="19"/>
      <c r="F289" s="19"/>
    </row>
    <row r="290">
      <c r="D290" s="18"/>
      <c r="E290" s="19"/>
      <c r="F290" s="19"/>
    </row>
    <row r="291">
      <c r="D291" s="18"/>
      <c r="E291" s="19"/>
      <c r="F291" s="19"/>
    </row>
    <row r="292">
      <c r="D292" s="18"/>
      <c r="E292" s="19"/>
      <c r="F292" s="19"/>
    </row>
    <row r="293">
      <c r="D293" s="18"/>
      <c r="E293" s="19"/>
      <c r="F293" s="19"/>
    </row>
    <row r="294">
      <c r="D294" s="18"/>
      <c r="E294" s="19"/>
      <c r="F294" s="19"/>
    </row>
    <row r="295">
      <c r="D295" s="18"/>
      <c r="E295" s="19"/>
      <c r="F295" s="19"/>
    </row>
    <row r="296">
      <c r="D296" s="18"/>
      <c r="E296" s="19"/>
      <c r="F296" s="19"/>
    </row>
    <row r="297">
      <c r="D297" s="18"/>
      <c r="E297" s="19"/>
      <c r="F297" s="19"/>
    </row>
    <row r="298">
      <c r="D298" s="18"/>
      <c r="E298" s="19"/>
      <c r="F298" s="19"/>
    </row>
    <row r="299">
      <c r="D299" s="18"/>
      <c r="E299" s="19"/>
      <c r="F299" s="19"/>
    </row>
    <row r="300">
      <c r="D300" s="18"/>
      <c r="E300" s="19"/>
      <c r="F300" s="19"/>
    </row>
    <row r="301">
      <c r="D301" s="18"/>
      <c r="E301" s="19"/>
      <c r="F301" s="19"/>
    </row>
    <row r="302">
      <c r="D302" s="18"/>
      <c r="E302" s="19"/>
      <c r="F302" s="19"/>
    </row>
    <row r="303">
      <c r="D303" s="18"/>
      <c r="E303" s="19"/>
      <c r="F303" s="19"/>
    </row>
    <row r="304">
      <c r="D304" s="18"/>
      <c r="E304" s="19"/>
      <c r="F304" s="19"/>
    </row>
    <row r="305">
      <c r="D305" s="18"/>
      <c r="E305" s="19"/>
      <c r="F305" s="19"/>
    </row>
    <row r="306">
      <c r="D306" s="18"/>
      <c r="E306" s="19"/>
      <c r="F306" s="19"/>
    </row>
    <row r="307">
      <c r="D307" s="18"/>
      <c r="E307" s="19"/>
      <c r="F307" s="19"/>
    </row>
    <row r="308">
      <c r="D308" s="18"/>
      <c r="E308" s="19"/>
      <c r="F308" s="19"/>
    </row>
    <row r="309">
      <c r="D309" s="18"/>
      <c r="E309" s="19"/>
      <c r="F309" s="19"/>
    </row>
    <row r="310">
      <c r="D310" s="18"/>
      <c r="E310" s="19"/>
      <c r="F310" s="19"/>
    </row>
    <row r="311">
      <c r="D311" s="18"/>
      <c r="E311" s="19"/>
      <c r="F311" s="19"/>
    </row>
    <row r="312">
      <c r="D312" s="18"/>
      <c r="E312" s="19"/>
      <c r="F312" s="19"/>
    </row>
    <row r="313">
      <c r="D313" s="18"/>
      <c r="E313" s="19"/>
      <c r="F313" s="19"/>
    </row>
    <row r="314">
      <c r="D314" s="18"/>
      <c r="E314" s="19"/>
      <c r="F314" s="19"/>
    </row>
    <row r="315">
      <c r="D315" s="18"/>
      <c r="E315" s="19"/>
      <c r="F315" s="19"/>
    </row>
    <row r="316">
      <c r="D316" s="18"/>
      <c r="E316" s="19"/>
      <c r="F316" s="19"/>
    </row>
    <row r="317">
      <c r="D317" s="18"/>
      <c r="E317" s="19"/>
      <c r="F317" s="19"/>
    </row>
    <row r="318">
      <c r="D318" s="18"/>
      <c r="E318" s="19"/>
      <c r="F318" s="19"/>
    </row>
    <row r="319">
      <c r="D319" s="18"/>
      <c r="E319" s="19"/>
      <c r="F319" s="19"/>
    </row>
    <row r="320">
      <c r="D320" s="18"/>
      <c r="E320" s="19"/>
      <c r="F320" s="19"/>
    </row>
    <row r="321">
      <c r="D321" s="18"/>
      <c r="E321" s="19"/>
      <c r="F321" s="19"/>
    </row>
    <row r="322">
      <c r="D322" s="18"/>
      <c r="E322" s="19"/>
      <c r="F322" s="19"/>
    </row>
    <row r="323">
      <c r="D323" s="18"/>
      <c r="E323" s="19"/>
      <c r="F323" s="19"/>
    </row>
    <row r="324">
      <c r="D324" s="18"/>
      <c r="E324" s="19"/>
      <c r="F324" s="19"/>
    </row>
    <row r="325">
      <c r="D325" s="18"/>
      <c r="E325" s="19"/>
      <c r="F325" s="19"/>
    </row>
    <row r="326">
      <c r="D326" s="18"/>
      <c r="E326" s="19"/>
      <c r="F326" s="19"/>
    </row>
    <row r="327">
      <c r="D327" s="18"/>
      <c r="E327" s="19"/>
      <c r="F327" s="19"/>
    </row>
    <row r="328">
      <c r="D328" s="18"/>
      <c r="E328" s="19"/>
      <c r="F328" s="19"/>
    </row>
    <row r="329">
      <c r="D329" s="18"/>
      <c r="E329" s="19"/>
      <c r="F329" s="19"/>
    </row>
    <row r="330">
      <c r="D330" s="18"/>
      <c r="E330" s="19"/>
      <c r="F330" s="19"/>
    </row>
    <row r="331">
      <c r="D331" s="18"/>
      <c r="E331" s="19"/>
      <c r="F331" s="19"/>
    </row>
    <row r="332">
      <c r="D332" s="18"/>
      <c r="E332" s="19"/>
      <c r="F332" s="19"/>
    </row>
    <row r="333">
      <c r="D333" s="18"/>
      <c r="E333" s="19"/>
      <c r="F333" s="19"/>
    </row>
    <row r="334">
      <c r="D334" s="18"/>
      <c r="E334" s="19"/>
      <c r="F334" s="19"/>
    </row>
    <row r="335">
      <c r="D335" s="18"/>
      <c r="E335" s="19"/>
      <c r="F335" s="19"/>
    </row>
    <row r="336">
      <c r="D336" s="18"/>
      <c r="E336" s="19"/>
      <c r="F336" s="19"/>
    </row>
    <row r="337">
      <c r="D337" s="18"/>
      <c r="E337" s="19"/>
      <c r="F337" s="19"/>
    </row>
    <row r="338">
      <c r="D338" s="18"/>
      <c r="E338" s="19"/>
      <c r="F338" s="19"/>
    </row>
    <row r="339">
      <c r="D339" s="18"/>
      <c r="E339" s="19"/>
      <c r="F339" s="19"/>
    </row>
    <row r="340">
      <c r="D340" s="18"/>
      <c r="E340" s="19"/>
      <c r="F340" s="19"/>
    </row>
    <row r="341">
      <c r="D341" s="18"/>
      <c r="E341" s="19"/>
      <c r="F341" s="19"/>
    </row>
    <row r="342">
      <c r="D342" s="18"/>
      <c r="E342" s="19"/>
      <c r="F342" s="19"/>
    </row>
    <row r="343">
      <c r="D343" s="18"/>
      <c r="E343" s="19"/>
      <c r="F343" s="19"/>
    </row>
    <row r="344">
      <c r="D344" s="18"/>
      <c r="E344" s="19"/>
      <c r="F344" s="19"/>
    </row>
    <row r="345">
      <c r="D345" s="18"/>
      <c r="E345" s="19"/>
      <c r="F345" s="19"/>
    </row>
    <row r="346">
      <c r="D346" s="18"/>
      <c r="E346" s="19"/>
      <c r="F346" s="19"/>
    </row>
    <row r="347">
      <c r="D347" s="18"/>
      <c r="E347" s="19"/>
      <c r="F347" s="19"/>
    </row>
    <row r="348">
      <c r="D348" s="18"/>
      <c r="E348" s="19"/>
      <c r="F348" s="19"/>
    </row>
    <row r="349">
      <c r="D349" s="18"/>
      <c r="E349" s="19"/>
      <c r="F349" s="19"/>
    </row>
    <row r="350">
      <c r="D350" s="18"/>
      <c r="E350" s="19"/>
      <c r="F350" s="19"/>
    </row>
    <row r="351">
      <c r="D351" s="18"/>
      <c r="E351" s="19"/>
      <c r="F351" s="19"/>
    </row>
    <row r="352">
      <c r="D352" s="18"/>
      <c r="E352" s="19"/>
      <c r="F352" s="19"/>
    </row>
    <row r="353">
      <c r="D353" s="18"/>
      <c r="E353" s="19"/>
      <c r="F353" s="19"/>
    </row>
    <row r="354">
      <c r="D354" s="18"/>
      <c r="E354" s="19"/>
      <c r="F354" s="19"/>
    </row>
    <row r="355">
      <c r="D355" s="18"/>
      <c r="E355" s="19"/>
      <c r="F355" s="19"/>
    </row>
    <row r="356">
      <c r="D356" s="18"/>
      <c r="E356" s="19"/>
      <c r="F356" s="19"/>
    </row>
    <row r="357">
      <c r="D357" s="18"/>
      <c r="E357" s="19"/>
      <c r="F357" s="19"/>
    </row>
    <row r="358">
      <c r="D358" s="18"/>
      <c r="E358" s="19"/>
      <c r="F358" s="19"/>
    </row>
    <row r="359">
      <c r="D359" s="18"/>
      <c r="E359" s="19"/>
      <c r="F359" s="19"/>
    </row>
    <row r="360">
      <c r="D360" s="18"/>
      <c r="E360" s="19"/>
      <c r="F360" s="19"/>
    </row>
    <row r="361">
      <c r="D361" s="18"/>
      <c r="E361" s="19"/>
      <c r="F361" s="19"/>
    </row>
    <row r="362">
      <c r="D362" s="18"/>
      <c r="E362" s="19"/>
      <c r="F362" s="19"/>
    </row>
    <row r="363">
      <c r="D363" s="18"/>
      <c r="E363" s="19"/>
      <c r="F363" s="19"/>
    </row>
    <row r="364">
      <c r="D364" s="18"/>
      <c r="E364" s="19"/>
      <c r="F364" s="19"/>
    </row>
    <row r="365">
      <c r="D365" s="18"/>
      <c r="E365" s="19"/>
      <c r="F365" s="19"/>
    </row>
    <row r="366">
      <c r="D366" s="18"/>
      <c r="E366" s="19"/>
      <c r="F366" s="19"/>
    </row>
    <row r="367">
      <c r="D367" s="18"/>
      <c r="E367" s="19"/>
      <c r="F367" s="19"/>
    </row>
    <row r="368">
      <c r="D368" s="18"/>
      <c r="E368" s="19"/>
      <c r="F368" s="19"/>
    </row>
    <row r="369">
      <c r="D369" s="18"/>
      <c r="E369" s="19"/>
      <c r="F369" s="19"/>
    </row>
    <row r="370">
      <c r="D370" s="18"/>
      <c r="E370" s="19"/>
      <c r="F370" s="19"/>
    </row>
    <row r="371">
      <c r="D371" s="18"/>
      <c r="E371" s="19"/>
      <c r="F371" s="19"/>
    </row>
    <row r="372">
      <c r="D372" s="18"/>
      <c r="E372" s="19"/>
      <c r="F372" s="19"/>
    </row>
    <row r="373">
      <c r="D373" s="18"/>
      <c r="E373" s="19"/>
      <c r="F373" s="19"/>
    </row>
    <row r="374">
      <c r="D374" s="18"/>
      <c r="E374" s="19"/>
      <c r="F374" s="19"/>
    </row>
    <row r="375">
      <c r="D375" s="18"/>
      <c r="E375" s="19"/>
      <c r="F375" s="19"/>
    </row>
    <row r="376">
      <c r="D376" s="18"/>
      <c r="E376" s="19"/>
      <c r="F376" s="19"/>
    </row>
    <row r="377">
      <c r="D377" s="18"/>
      <c r="E377" s="19"/>
      <c r="F377" s="19"/>
    </row>
    <row r="378">
      <c r="D378" s="18"/>
      <c r="E378" s="19"/>
      <c r="F378" s="19"/>
    </row>
    <row r="379">
      <c r="D379" s="18"/>
      <c r="E379" s="19"/>
      <c r="F379" s="19"/>
    </row>
    <row r="380">
      <c r="D380" s="18"/>
      <c r="E380" s="19"/>
      <c r="F380" s="19"/>
    </row>
    <row r="381">
      <c r="D381" s="18"/>
      <c r="E381" s="19"/>
      <c r="F381" s="19"/>
    </row>
    <row r="382">
      <c r="D382" s="18"/>
      <c r="E382" s="19"/>
      <c r="F382" s="19"/>
    </row>
    <row r="383">
      <c r="D383" s="18"/>
      <c r="E383" s="19"/>
      <c r="F383" s="19"/>
    </row>
    <row r="384">
      <c r="D384" s="18"/>
      <c r="E384" s="19"/>
      <c r="F384" s="19"/>
    </row>
    <row r="385">
      <c r="D385" s="18"/>
      <c r="E385" s="19"/>
      <c r="F385" s="19"/>
    </row>
    <row r="386">
      <c r="D386" s="18"/>
      <c r="E386" s="19"/>
      <c r="F386" s="19"/>
    </row>
    <row r="387">
      <c r="D387" s="18"/>
      <c r="E387" s="19"/>
      <c r="F387" s="19"/>
    </row>
    <row r="388">
      <c r="D388" s="18"/>
      <c r="E388" s="19"/>
      <c r="F388" s="19"/>
    </row>
    <row r="389">
      <c r="D389" s="18"/>
      <c r="E389" s="19"/>
      <c r="F389" s="19"/>
    </row>
    <row r="390">
      <c r="D390" s="18"/>
      <c r="E390" s="19"/>
      <c r="F390" s="19"/>
    </row>
    <row r="391">
      <c r="D391" s="18"/>
      <c r="E391" s="19"/>
      <c r="F391" s="19"/>
    </row>
    <row r="392">
      <c r="D392" s="18"/>
      <c r="E392" s="19"/>
      <c r="F392" s="19"/>
    </row>
    <row r="393">
      <c r="D393" s="18"/>
      <c r="E393" s="19"/>
      <c r="F393" s="19"/>
    </row>
    <row r="394">
      <c r="D394" s="18"/>
      <c r="E394" s="19"/>
      <c r="F394" s="19"/>
    </row>
    <row r="395">
      <c r="D395" s="18"/>
      <c r="E395" s="19"/>
      <c r="F395" s="19"/>
    </row>
    <row r="396">
      <c r="D396" s="18"/>
      <c r="E396" s="19"/>
      <c r="F396" s="19"/>
    </row>
    <row r="397">
      <c r="D397" s="18"/>
      <c r="E397" s="19"/>
      <c r="F397" s="19"/>
    </row>
    <row r="398">
      <c r="D398" s="18"/>
      <c r="E398" s="19"/>
      <c r="F398" s="19"/>
    </row>
    <row r="399">
      <c r="D399" s="18"/>
      <c r="E399" s="19"/>
      <c r="F399" s="19"/>
    </row>
    <row r="400">
      <c r="D400" s="18"/>
      <c r="E400" s="19"/>
      <c r="F400" s="19"/>
    </row>
    <row r="401">
      <c r="D401" s="18"/>
      <c r="E401" s="19"/>
      <c r="F401" s="19"/>
    </row>
    <row r="402">
      <c r="D402" s="18"/>
      <c r="E402" s="19"/>
      <c r="F402" s="19"/>
    </row>
    <row r="403">
      <c r="D403" s="18"/>
      <c r="E403" s="19"/>
      <c r="F403" s="19"/>
    </row>
    <row r="404">
      <c r="D404" s="18"/>
      <c r="E404" s="19"/>
      <c r="F404" s="19"/>
    </row>
    <row r="405">
      <c r="D405" s="18"/>
      <c r="E405" s="19"/>
      <c r="F405" s="19"/>
    </row>
    <row r="406">
      <c r="D406" s="18"/>
      <c r="E406" s="19"/>
      <c r="F406" s="19"/>
    </row>
    <row r="407">
      <c r="D407" s="18"/>
      <c r="E407" s="19"/>
      <c r="F407" s="19"/>
    </row>
    <row r="408">
      <c r="D408" s="18"/>
      <c r="E408" s="19"/>
      <c r="F408" s="19"/>
    </row>
    <row r="409">
      <c r="D409" s="18"/>
      <c r="E409" s="19"/>
      <c r="F409" s="19"/>
    </row>
    <row r="410">
      <c r="D410" s="18"/>
      <c r="E410" s="19"/>
      <c r="F410" s="19"/>
    </row>
    <row r="411">
      <c r="D411" s="18"/>
      <c r="E411" s="19"/>
      <c r="F411" s="19"/>
    </row>
    <row r="412">
      <c r="D412" s="18"/>
      <c r="E412" s="19"/>
      <c r="F412" s="19"/>
    </row>
    <row r="413">
      <c r="D413" s="18"/>
      <c r="E413" s="19"/>
      <c r="F413" s="19"/>
    </row>
    <row r="414">
      <c r="D414" s="18"/>
      <c r="E414" s="19"/>
      <c r="F414" s="19"/>
    </row>
    <row r="415">
      <c r="D415" s="18"/>
      <c r="E415" s="19"/>
      <c r="F415" s="19"/>
    </row>
    <row r="416">
      <c r="D416" s="18"/>
      <c r="E416" s="19"/>
      <c r="F416" s="19"/>
    </row>
    <row r="417">
      <c r="D417" s="18"/>
      <c r="E417" s="19"/>
      <c r="F417" s="19"/>
    </row>
    <row r="418">
      <c r="D418" s="18"/>
      <c r="E418" s="19"/>
      <c r="F418" s="19"/>
    </row>
    <row r="419">
      <c r="D419" s="18"/>
      <c r="E419" s="19"/>
      <c r="F419" s="19"/>
    </row>
    <row r="420">
      <c r="D420" s="18"/>
      <c r="E420" s="19"/>
      <c r="F420" s="19"/>
    </row>
    <row r="421">
      <c r="D421" s="18"/>
      <c r="E421" s="19"/>
      <c r="F421" s="19"/>
    </row>
    <row r="422">
      <c r="D422" s="18"/>
      <c r="E422" s="19"/>
      <c r="F422" s="19"/>
    </row>
    <row r="423">
      <c r="D423" s="18"/>
      <c r="E423" s="19"/>
      <c r="F423" s="19"/>
    </row>
    <row r="424">
      <c r="D424" s="18"/>
      <c r="E424" s="19"/>
      <c r="F424" s="19"/>
    </row>
    <row r="425">
      <c r="D425" s="18"/>
      <c r="E425" s="19"/>
      <c r="F425" s="19"/>
    </row>
    <row r="426">
      <c r="D426" s="18"/>
      <c r="E426" s="19"/>
      <c r="F426" s="19"/>
    </row>
    <row r="427">
      <c r="D427" s="18"/>
      <c r="E427" s="19"/>
      <c r="F427" s="19"/>
    </row>
    <row r="428">
      <c r="D428" s="18"/>
      <c r="E428" s="19"/>
      <c r="F428" s="19"/>
    </row>
    <row r="429">
      <c r="D429" s="18"/>
      <c r="E429" s="19"/>
      <c r="F429" s="19"/>
    </row>
    <row r="430">
      <c r="D430" s="18"/>
      <c r="E430" s="19"/>
      <c r="F430" s="19"/>
    </row>
    <row r="431">
      <c r="D431" s="18"/>
      <c r="E431" s="19"/>
      <c r="F431" s="19"/>
    </row>
    <row r="432">
      <c r="D432" s="18"/>
      <c r="E432" s="19"/>
      <c r="F432" s="19"/>
    </row>
    <row r="433">
      <c r="D433" s="18"/>
      <c r="E433" s="19"/>
      <c r="F433" s="19"/>
    </row>
    <row r="434">
      <c r="D434" s="18"/>
      <c r="E434" s="19"/>
      <c r="F434" s="19"/>
    </row>
    <row r="435">
      <c r="D435" s="18"/>
      <c r="E435" s="19"/>
      <c r="F435" s="19"/>
    </row>
    <row r="436">
      <c r="D436" s="18"/>
      <c r="E436" s="19"/>
      <c r="F436" s="19"/>
    </row>
    <row r="437">
      <c r="D437" s="18"/>
      <c r="E437" s="19"/>
      <c r="F437" s="19"/>
    </row>
    <row r="438">
      <c r="D438" s="18"/>
      <c r="E438" s="19"/>
      <c r="F438" s="19"/>
    </row>
    <row r="439">
      <c r="D439" s="18"/>
      <c r="E439" s="19"/>
      <c r="F439" s="19"/>
    </row>
    <row r="440">
      <c r="D440" s="18"/>
      <c r="E440" s="19"/>
      <c r="F440" s="19"/>
    </row>
    <row r="441">
      <c r="D441" s="18"/>
      <c r="E441" s="19"/>
      <c r="F441" s="19"/>
    </row>
    <row r="442">
      <c r="D442" s="18"/>
      <c r="E442" s="19"/>
      <c r="F442" s="19"/>
    </row>
    <row r="443">
      <c r="D443" s="18"/>
      <c r="E443" s="19"/>
      <c r="F443" s="19"/>
    </row>
    <row r="444">
      <c r="D444" s="18"/>
      <c r="E444" s="19"/>
      <c r="F444" s="19"/>
    </row>
    <row r="445">
      <c r="D445" s="18"/>
      <c r="E445" s="19"/>
      <c r="F445" s="19"/>
    </row>
    <row r="446">
      <c r="D446" s="18"/>
      <c r="E446" s="19"/>
      <c r="F446" s="19"/>
    </row>
    <row r="447">
      <c r="D447" s="18"/>
      <c r="E447" s="19"/>
      <c r="F447" s="19"/>
    </row>
    <row r="448">
      <c r="D448" s="18"/>
      <c r="E448" s="19"/>
      <c r="F448" s="19"/>
    </row>
    <row r="449">
      <c r="D449" s="18"/>
      <c r="E449" s="19"/>
      <c r="F449" s="19"/>
    </row>
    <row r="450">
      <c r="D450" s="18"/>
      <c r="E450" s="19"/>
      <c r="F450" s="19"/>
    </row>
    <row r="451">
      <c r="D451" s="18"/>
      <c r="E451" s="19"/>
      <c r="F451" s="19"/>
    </row>
    <row r="452">
      <c r="D452" s="18"/>
      <c r="E452" s="19"/>
      <c r="F452" s="19"/>
    </row>
    <row r="453">
      <c r="D453" s="18"/>
      <c r="E453" s="19"/>
      <c r="F453" s="19"/>
    </row>
    <row r="454">
      <c r="D454" s="18"/>
      <c r="E454" s="19"/>
      <c r="F454" s="19"/>
    </row>
    <row r="455">
      <c r="D455" s="18"/>
      <c r="E455" s="19"/>
      <c r="F455" s="19"/>
    </row>
    <row r="456">
      <c r="D456" s="18"/>
      <c r="E456" s="19"/>
      <c r="F456" s="19"/>
    </row>
    <row r="457">
      <c r="D457" s="18"/>
      <c r="E457" s="19"/>
      <c r="F457" s="19"/>
    </row>
    <row r="458">
      <c r="D458" s="18"/>
      <c r="E458" s="19"/>
      <c r="F458" s="19"/>
    </row>
    <row r="459">
      <c r="D459" s="18"/>
      <c r="E459" s="19"/>
      <c r="F459" s="19"/>
    </row>
    <row r="460">
      <c r="D460" s="18"/>
      <c r="E460" s="19"/>
      <c r="F460" s="19"/>
    </row>
    <row r="461">
      <c r="D461" s="18"/>
      <c r="E461" s="19"/>
      <c r="F461" s="19"/>
    </row>
    <row r="462">
      <c r="D462" s="18"/>
      <c r="E462" s="19"/>
      <c r="F462" s="19"/>
    </row>
    <row r="463">
      <c r="D463" s="18"/>
      <c r="E463" s="19"/>
      <c r="F463" s="19"/>
    </row>
    <row r="464">
      <c r="D464" s="18"/>
      <c r="E464" s="19"/>
      <c r="F464" s="19"/>
    </row>
    <row r="465">
      <c r="D465" s="18"/>
      <c r="E465" s="19"/>
      <c r="F465" s="19"/>
    </row>
    <row r="466">
      <c r="D466" s="18"/>
      <c r="E466" s="19"/>
      <c r="F466" s="19"/>
    </row>
    <row r="467">
      <c r="D467" s="18"/>
      <c r="E467" s="19"/>
      <c r="F467" s="19"/>
    </row>
    <row r="468">
      <c r="D468" s="18"/>
      <c r="E468" s="19"/>
      <c r="F468" s="19"/>
    </row>
    <row r="469">
      <c r="D469" s="18"/>
      <c r="E469" s="19"/>
      <c r="F469" s="19"/>
    </row>
    <row r="470">
      <c r="D470" s="18"/>
      <c r="E470" s="19"/>
      <c r="F470" s="19"/>
    </row>
    <row r="471">
      <c r="D471" s="18"/>
      <c r="E471" s="19"/>
      <c r="F471" s="19"/>
    </row>
    <row r="472">
      <c r="D472" s="18"/>
      <c r="E472" s="19"/>
      <c r="F472" s="19"/>
    </row>
    <row r="473">
      <c r="D473" s="18"/>
      <c r="E473" s="19"/>
      <c r="F473" s="19"/>
    </row>
    <row r="474">
      <c r="D474" s="18"/>
      <c r="E474" s="19"/>
      <c r="F474" s="19"/>
    </row>
    <row r="475">
      <c r="D475" s="18"/>
      <c r="E475" s="19"/>
      <c r="F475" s="19"/>
    </row>
    <row r="476">
      <c r="D476" s="18"/>
      <c r="E476" s="19"/>
      <c r="F476" s="19"/>
    </row>
    <row r="477">
      <c r="D477" s="18"/>
      <c r="E477" s="19"/>
      <c r="F477" s="19"/>
    </row>
    <row r="478">
      <c r="D478" s="18"/>
      <c r="E478" s="19"/>
      <c r="F478" s="19"/>
    </row>
    <row r="479">
      <c r="D479" s="18"/>
      <c r="E479" s="19"/>
      <c r="F479" s="19"/>
    </row>
    <row r="480">
      <c r="D480" s="18"/>
      <c r="E480" s="19"/>
      <c r="F480" s="19"/>
    </row>
    <row r="481">
      <c r="D481" s="18"/>
      <c r="E481" s="19"/>
      <c r="F481" s="19"/>
    </row>
    <row r="482">
      <c r="D482" s="18"/>
      <c r="E482" s="19"/>
      <c r="F482" s="19"/>
    </row>
    <row r="483">
      <c r="D483" s="18"/>
      <c r="E483" s="19"/>
      <c r="F483" s="19"/>
    </row>
    <row r="484">
      <c r="D484" s="18"/>
      <c r="E484" s="19"/>
      <c r="F484" s="19"/>
    </row>
    <row r="485">
      <c r="D485" s="18"/>
      <c r="E485" s="19"/>
      <c r="F485" s="19"/>
    </row>
    <row r="486">
      <c r="D486" s="18"/>
      <c r="E486" s="19"/>
      <c r="F486" s="19"/>
    </row>
    <row r="487">
      <c r="D487" s="18"/>
      <c r="E487" s="19"/>
      <c r="F487" s="19"/>
    </row>
    <row r="488">
      <c r="D488" s="18"/>
      <c r="E488" s="19"/>
      <c r="F488" s="19"/>
    </row>
    <row r="489">
      <c r="D489" s="18"/>
      <c r="E489" s="19"/>
      <c r="F489" s="19"/>
    </row>
    <row r="490">
      <c r="D490" s="18"/>
      <c r="E490" s="19"/>
      <c r="F490" s="19"/>
    </row>
    <row r="491">
      <c r="D491" s="18"/>
      <c r="E491" s="19"/>
      <c r="F491" s="19"/>
    </row>
    <row r="492">
      <c r="D492" s="18"/>
      <c r="E492" s="19"/>
      <c r="F492" s="19"/>
    </row>
    <row r="493">
      <c r="D493" s="18"/>
      <c r="E493" s="19"/>
      <c r="F493" s="19"/>
    </row>
    <row r="494">
      <c r="D494" s="18"/>
      <c r="E494" s="19"/>
      <c r="F494" s="19"/>
    </row>
    <row r="495">
      <c r="D495" s="18"/>
      <c r="E495" s="19"/>
      <c r="F495" s="19"/>
    </row>
    <row r="496">
      <c r="D496" s="18"/>
      <c r="E496" s="19"/>
      <c r="F496" s="19"/>
    </row>
    <row r="497">
      <c r="D497" s="18"/>
      <c r="E497" s="19"/>
      <c r="F497" s="19"/>
    </row>
    <row r="498">
      <c r="D498" s="18"/>
      <c r="E498" s="19"/>
      <c r="F498" s="19"/>
    </row>
    <row r="499">
      <c r="D499" s="18"/>
      <c r="E499" s="19"/>
      <c r="F499" s="19"/>
    </row>
    <row r="500">
      <c r="D500" s="18"/>
      <c r="E500" s="19"/>
      <c r="F500" s="19"/>
    </row>
    <row r="501">
      <c r="D501" s="18"/>
      <c r="E501" s="19"/>
      <c r="F501" s="19"/>
    </row>
    <row r="502">
      <c r="D502" s="18"/>
      <c r="E502" s="19"/>
      <c r="F502" s="19"/>
    </row>
    <row r="503">
      <c r="D503" s="18"/>
      <c r="E503" s="19"/>
      <c r="F503" s="19"/>
    </row>
    <row r="504">
      <c r="D504" s="18"/>
      <c r="E504" s="19"/>
      <c r="F504" s="19"/>
    </row>
    <row r="505">
      <c r="D505" s="18"/>
      <c r="E505" s="19"/>
      <c r="F505" s="19"/>
    </row>
    <row r="506">
      <c r="D506" s="18"/>
      <c r="E506" s="19"/>
      <c r="F506" s="19"/>
    </row>
    <row r="507">
      <c r="D507" s="18"/>
      <c r="E507" s="19"/>
      <c r="F507" s="19"/>
    </row>
    <row r="508">
      <c r="D508" s="18"/>
      <c r="E508" s="19"/>
      <c r="F508" s="19"/>
    </row>
    <row r="509">
      <c r="D509" s="18"/>
      <c r="E509" s="19"/>
      <c r="F509" s="19"/>
    </row>
    <row r="510">
      <c r="D510" s="18"/>
      <c r="E510" s="19"/>
      <c r="F510" s="19"/>
    </row>
    <row r="511">
      <c r="D511" s="18"/>
      <c r="E511" s="19"/>
      <c r="F511" s="19"/>
    </row>
    <row r="512">
      <c r="D512" s="18"/>
      <c r="E512" s="19"/>
      <c r="F512" s="19"/>
    </row>
    <row r="513">
      <c r="D513" s="18"/>
      <c r="E513" s="19"/>
      <c r="F513" s="19"/>
    </row>
    <row r="514">
      <c r="D514" s="18"/>
      <c r="E514" s="19"/>
      <c r="F514" s="19"/>
    </row>
    <row r="515">
      <c r="D515" s="18"/>
      <c r="E515" s="19"/>
      <c r="F515" s="19"/>
    </row>
    <row r="516">
      <c r="D516" s="18"/>
      <c r="E516" s="19"/>
      <c r="F516" s="19"/>
    </row>
    <row r="517">
      <c r="D517" s="18"/>
      <c r="E517" s="19"/>
      <c r="F517" s="19"/>
    </row>
    <row r="518">
      <c r="D518" s="18"/>
      <c r="E518" s="19"/>
      <c r="F518" s="19"/>
    </row>
    <row r="519">
      <c r="D519" s="18"/>
      <c r="E519" s="19"/>
      <c r="F519" s="19"/>
    </row>
    <row r="520">
      <c r="D520" s="18"/>
      <c r="E520" s="19"/>
      <c r="F520" s="19"/>
    </row>
    <row r="521">
      <c r="D521" s="18"/>
      <c r="E521" s="19"/>
      <c r="F521" s="19"/>
    </row>
    <row r="522">
      <c r="D522" s="18"/>
      <c r="E522" s="19"/>
      <c r="F522" s="19"/>
    </row>
    <row r="523">
      <c r="D523" s="18"/>
      <c r="E523" s="19"/>
      <c r="F523" s="19"/>
    </row>
    <row r="524">
      <c r="D524" s="18"/>
      <c r="E524" s="19"/>
      <c r="F524" s="19"/>
    </row>
    <row r="525">
      <c r="D525" s="18"/>
      <c r="E525" s="19"/>
      <c r="F525" s="19"/>
    </row>
    <row r="526">
      <c r="D526" s="18"/>
      <c r="E526" s="19"/>
      <c r="F526" s="19"/>
    </row>
    <row r="527">
      <c r="D527" s="18"/>
      <c r="E527" s="19"/>
      <c r="F527" s="19"/>
    </row>
    <row r="528">
      <c r="D528" s="18"/>
      <c r="E528" s="19"/>
      <c r="F528" s="19"/>
    </row>
    <row r="529">
      <c r="D529" s="18"/>
      <c r="E529" s="19"/>
      <c r="F529" s="19"/>
    </row>
    <row r="530">
      <c r="D530" s="18"/>
      <c r="E530" s="19"/>
      <c r="F530" s="19"/>
    </row>
    <row r="531">
      <c r="D531" s="18"/>
      <c r="E531" s="19"/>
      <c r="F531" s="19"/>
    </row>
    <row r="532">
      <c r="D532" s="18"/>
      <c r="E532" s="19"/>
      <c r="F532" s="19"/>
    </row>
    <row r="533">
      <c r="D533" s="18"/>
      <c r="E533" s="19"/>
      <c r="F533" s="19"/>
    </row>
    <row r="534">
      <c r="D534" s="18"/>
      <c r="E534" s="19"/>
      <c r="F534" s="19"/>
    </row>
    <row r="535">
      <c r="D535" s="18"/>
      <c r="E535" s="19"/>
      <c r="F535" s="19"/>
    </row>
    <row r="536">
      <c r="D536" s="18"/>
      <c r="E536" s="19"/>
      <c r="F536" s="19"/>
    </row>
    <row r="537">
      <c r="D537" s="18"/>
      <c r="E537" s="19"/>
      <c r="F537" s="19"/>
    </row>
    <row r="538">
      <c r="D538" s="18"/>
      <c r="E538" s="19"/>
      <c r="F538" s="19"/>
    </row>
    <row r="539">
      <c r="D539" s="18"/>
      <c r="E539" s="19"/>
      <c r="F539" s="19"/>
    </row>
    <row r="540">
      <c r="D540" s="18"/>
      <c r="E540" s="19"/>
      <c r="F540" s="19"/>
    </row>
    <row r="541">
      <c r="D541" s="18"/>
      <c r="E541" s="19"/>
      <c r="F541" s="19"/>
    </row>
    <row r="542">
      <c r="D542" s="18"/>
      <c r="E542" s="19"/>
      <c r="F542" s="19"/>
    </row>
    <row r="543">
      <c r="D543" s="18"/>
      <c r="E543" s="19"/>
      <c r="F543" s="19"/>
    </row>
    <row r="544">
      <c r="D544" s="18"/>
      <c r="E544" s="19"/>
      <c r="F544" s="19"/>
    </row>
    <row r="545">
      <c r="D545" s="18"/>
      <c r="E545" s="19"/>
      <c r="F545" s="19"/>
    </row>
    <row r="546">
      <c r="D546" s="18"/>
      <c r="E546" s="19"/>
      <c r="F546" s="19"/>
    </row>
    <row r="547">
      <c r="D547" s="18"/>
      <c r="E547" s="19"/>
      <c r="F547" s="19"/>
    </row>
    <row r="548">
      <c r="D548" s="18"/>
      <c r="E548" s="19"/>
      <c r="F548" s="19"/>
    </row>
    <row r="549">
      <c r="D549" s="18"/>
      <c r="E549" s="19"/>
      <c r="F549" s="19"/>
    </row>
    <row r="550">
      <c r="D550" s="18"/>
      <c r="E550" s="19"/>
      <c r="F550" s="19"/>
    </row>
    <row r="551">
      <c r="D551" s="18"/>
      <c r="E551" s="19"/>
      <c r="F551" s="19"/>
    </row>
    <row r="552">
      <c r="D552" s="18"/>
      <c r="E552" s="19"/>
      <c r="F552" s="19"/>
    </row>
    <row r="553">
      <c r="D553" s="18"/>
      <c r="E553" s="19"/>
      <c r="F553" s="19"/>
    </row>
    <row r="554">
      <c r="D554" s="18"/>
      <c r="E554" s="19"/>
      <c r="F554" s="19"/>
    </row>
    <row r="555">
      <c r="D555" s="18"/>
      <c r="E555" s="19"/>
      <c r="F555" s="19"/>
    </row>
    <row r="556">
      <c r="D556" s="18"/>
      <c r="E556" s="19"/>
      <c r="F556" s="19"/>
    </row>
    <row r="557">
      <c r="D557" s="18"/>
      <c r="E557" s="19"/>
      <c r="F557" s="19"/>
    </row>
    <row r="558">
      <c r="D558" s="18"/>
      <c r="E558" s="19"/>
      <c r="F558" s="19"/>
    </row>
    <row r="559">
      <c r="D559" s="18"/>
      <c r="E559" s="19"/>
      <c r="F559" s="19"/>
    </row>
    <row r="560">
      <c r="D560" s="18"/>
      <c r="E560" s="19"/>
      <c r="F560" s="19"/>
    </row>
    <row r="561">
      <c r="D561" s="18"/>
      <c r="E561" s="19"/>
      <c r="F561" s="19"/>
    </row>
    <row r="562">
      <c r="D562" s="18"/>
      <c r="E562" s="19"/>
      <c r="F562" s="19"/>
    </row>
    <row r="563">
      <c r="D563" s="18"/>
      <c r="E563" s="19"/>
      <c r="F563" s="19"/>
    </row>
    <row r="564">
      <c r="D564" s="18"/>
      <c r="E564" s="19"/>
      <c r="F564" s="19"/>
    </row>
    <row r="565">
      <c r="D565" s="18"/>
      <c r="E565" s="19"/>
      <c r="F565" s="19"/>
    </row>
    <row r="566">
      <c r="D566" s="18"/>
      <c r="E566" s="19"/>
      <c r="F566" s="19"/>
    </row>
    <row r="567">
      <c r="D567" s="18"/>
      <c r="E567" s="19"/>
      <c r="F567" s="19"/>
    </row>
    <row r="568">
      <c r="D568" s="18"/>
      <c r="E568" s="19"/>
      <c r="F568" s="19"/>
    </row>
    <row r="569">
      <c r="D569" s="18"/>
      <c r="E569" s="19"/>
      <c r="F569" s="19"/>
    </row>
    <row r="570">
      <c r="D570" s="18"/>
      <c r="E570" s="19"/>
      <c r="F570" s="19"/>
    </row>
    <row r="571">
      <c r="D571" s="18"/>
      <c r="E571" s="19"/>
      <c r="F571" s="19"/>
    </row>
    <row r="572">
      <c r="D572" s="18"/>
      <c r="E572" s="19"/>
      <c r="F572" s="19"/>
    </row>
    <row r="573">
      <c r="D573" s="18"/>
      <c r="E573" s="19"/>
      <c r="F573" s="19"/>
    </row>
    <row r="574">
      <c r="D574" s="18"/>
      <c r="E574" s="19"/>
      <c r="F574" s="19"/>
    </row>
    <row r="575">
      <c r="D575" s="18"/>
      <c r="E575" s="19"/>
      <c r="F575" s="19"/>
    </row>
    <row r="576">
      <c r="D576" s="18"/>
      <c r="E576" s="19"/>
      <c r="F576" s="19"/>
    </row>
    <row r="577">
      <c r="D577" s="18"/>
      <c r="E577" s="19"/>
      <c r="F577" s="19"/>
    </row>
    <row r="578">
      <c r="D578" s="18"/>
      <c r="E578" s="19"/>
      <c r="F578" s="19"/>
    </row>
    <row r="579">
      <c r="D579" s="18"/>
      <c r="E579" s="19"/>
      <c r="F579" s="19"/>
    </row>
    <row r="580">
      <c r="D580" s="18"/>
      <c r="E580" s="19"/>
      <c r="F580" s="19"/>
    </row>
    <row r="581">
      <c r="D581" s="18"/>
      <c r="E581" s="19"/>
      <c r="F581" s="19"/>
    </row>
    <row r="582">
      <c r="D582" s="18"/>
      <c r="E582" s="19"/>
      <c r="F582" s="19"/>
    </row>
    <row r="583">
      <c r="D583" s="18"/>
      <c r="E583" s="19"/>
      <c r="F583" s="19"/>
    </row>
    <row r="584">
      <c r="D584" s="18"/>
      <c r="E584" s="19"/>
      <c r="F584" s="19"/>
    </row>
    <row r="585">
      <c r="D585" s="18"/>
      <c r="E585" s="19"/>
      <c r="F585" s="19"/>
    </row>
    <row r="586">
      <c r="D586" s="18"/>
      <c r="E586" s="19"/>
      <c r="F586" s="19"/>
    </row>
    <row r="587">
      <c r="D587" s="18"/>
      <c r="E587" s="19"/>
      <c r="F587" s="19"/>
    </row>
    <row r="588">
      <c r="D588" s="18"/>
      <c r="E588" s="19"/>
      <c r="F588" s="19"/>
    </row>
    <row r="589">
      <c r="D589" s="18"/>
      <c r="E589" s="19"/>
      <c r="F589" s="19"/>
    </row>
    <row r="590">
      <c r="D590" s="18"/>
      <c r="E590" s="19"/>
      <c r="F590" s="19"/>
    </row>
    <row r="591">
      <c r="D591" s="18"/>
      <c r="E591" s="19"/>
      <c r="F591" s="19"/>
    </row>
    <row r="592">
      <c r="D592" s="18"/>
      <c r="E592" s="19"/>
      <c r="F592" s="19"/>
    </row>
    <row r="593">
      <c r="D593" s="18"/>
      <c r="E593" s="19"/>
      <c r="F593" s="19"/>
    </row>
    <row r="594">
      <c r="D594" s="18"/>
      <c r="E594" s="19"/>
      <c r="F594" s="19"/>
    </row>
    <row r="595">
      <c r="D595" s="18"/>
      <c r="E595" s="19"/>
      <c r="F595" s="19"/>
    </row>
    <row r="596">
      <c r="D596" s="18"/>
      <c r="E596" s="19"/>
      <c r="F596" s="19"/>
    </row>
    <row r="597">
      <c r="D597" s="18"/>
      <c r="E597" s="19"/>
      <c r="F597" s="19"/>
    </row>
    <row r="598">
      <c r="D598" s="18"/>
      <c r="E598" s="19"/>
      <c r="F598" s="19"/>
    </row>
    <row r="599">
      <c r="D599" s="18"/>
      <c r="E599" s="19"/>
      <c r="F599" s="19"/>
    </row>
    <row r="600">
      <c r="D600" s="18"/>
      <c r="E600" s="19"/>
      <c r="F600" s="19"/>
    </row>
    <row r="601">
      <c r="D601" s="18"/>
      <c r="E601" s="19"/>
      <c r="F601" s="19"/>
    </row>
    <row r="602">
      <c r="D602" s="18"/>
      <c r="E602" s="19"/>
      <c r="F602" s="19"/>
    </row>
    <row r="603">
      <c r="D603" s="18"/>
      <c r="E603" s="19"/>
      <c r="F603" s="19"/>
    </row>
    <row r="604">
      <c r="D604" s="18"/>
      <c r="E604" s="19"/>
      <c r="F604" s="19"/>
    </row>
    <row r="605">
      <c r="D605" s="18"/>
      <c r="E605" s="19"/>
      <c r="F605" s="19"/>
    </row>
    <row r="606">
      <c r="D606" s="18"/>
      <c r="E606" s="19"/>
      <c r="F606" s="19"/>
    </row>
    <row r="607">
      <c r="D607" s="18"/>
      <c r="E607" s="19"/>
      <c r="F607" s="19"/>
    </row>
    <row r="608">
      <c r="D608" s="18"/>
      <c r="E608" s="19"/>
      <c r="F608" s="19"/>
    </row>
    <row r="609">
      <c r="D609" s="18"/>
      <c r="E609" s="19"/>
      <c r="F609" s="19"/>
    </row>
    <row r="610">
      <c r="D610" s="18"/>
      <c r="E610" s="19"/>
      <c r="F610" s="19"/>
    </row>
    <row r="611">
      <c r="D611" s="18"/>
      <c r="E611" s="19"/>
      <c r="F611" s="19"/>
    </row>
    <row r="612">
      <c r="D612" s="18"/>
      <c r="E612" s="19"/>
      <c r="F612" s="19"/>
    </row>
    <row r="613">
      <c r="D613" s="18"/>
      <c r="E613" s="19"/>
      <c r="F613" s="19"/>
    </row>
    <row r="614">
      <c r="D614" s="18"/>
      <c r="E614" s="19"/>
      <c r="F614" s="19"/>
    </row>
    <row r="615">
      <c r="D615" s="18"/>
      <c r="E615" s="19"/>
      <c r="F615" s="19"/>
    </row>
    <row r="616">
      <c r="D616" s="18"/>
      <c r="E616" s="19"/>
      <c r="F616" s="19"/>
    </row>
    <row r="617">
      <c r="D617" s="18"/>
      <c r="E617" s="19"/>
      <c r="F617" s="19"/>
    </row>
    <row r="618">
      <c r="D618" s="18"/>
      <c r="E618" s="19"/>
      <c r="F618" s="19"/>
    </row>
    <row r="619">
      <c r="D619" s="18"/>
      <c r="E619" s="19"/>
      <c r="F619" s="19"/>
    </row>
    <row r="620">
      <c r="D620" s="18"/>
      <c r="E620" s="19"/>
      <c r="F620" s="19"/>
    </row>
    <row r="621">
      <c r="D621" s="18"/>
      <c r="E621" s="19"/>
      <c r="F621" s="19"/>
    </row>
    <row r="622">
      <c r="D622" s="18"/>
      <c r="E622" s="19"/>
      <c r="F622" s="19"/>
    </row>
    <row r="623">
      <c r="D623" s="18"/>
      <c r="E623" s="19"/>
      <c r="F623" s="19"/>
    </row>
    <row r="624">
      <c r="D624" s="18"/>
      <c r="E624" s="19"/>
      <c r="F624" s="19"/>
    </row>
    <row r="625">
      <c r="D625" s="18"/>
      <c r="E625" s="19"/>
      <c r="F625" s="19"/>
    </row>
    <row r="626">
      <c r="D626" s="18"/>
      <c r="E626" s="19"/>
      <c r="F626" s="19"/>
    </row>
    <row r="627">
      <c r="D627" s="18"/>
      <c r="E627" s="19"/>
      <c r="F627" s="19"/>
    </row>
    <row r="628">
      <c r="D628" s="18"/>
      <c r="E628" s="19"/>
      <c r="F628" s="19"/>
    </row>
    <row r="629">
      <c r="D629" s="18"/>
      <c r="E629" s="19"/>
      <c r="F629" s="19"/>
    </row>
    <row r="630">
      <c r="D630" s="18"/>
      <c r="E630" s="19"/>
      <c r="F630" s="19"/>
    </row>
    <row r="631">
      <c r="D631" s="18"/>
      <c r="E631" s="19"/>
      <c r="F631" s="19"/>
    </row>
    <row r="632">
      <c r="D632" s="18"/>
      <c r="E632" s="19"/>
      <c r="F632" s="19"/>
    </row>
    <row r="633">
      <c r="D633" s="18"/>
      <c r="E633" s="19"/>
      <c r="F633" s="19"/>
    </row>
    <row r="634">
      <c r="D634" s="18"/>
      <c r="E634" s="19"/>
      <c r="F634" s="19"/>
    </row>
    <row r="635">
      <c r="D635" s="18"/>
      <c r="E635" s="19"/>
      <c r="F635" s="19"/>
    </row>
    <row r="636">
      <c r="D636" s="18"/>
      <c r="E636" s="19"/>
      <c r="F636" s="19"/>
    </row>
    <row r="637">
      <c r="D637" s="18"/>
      <c r="E637" s="19"/>
      <c r="F637" s="19"/>
    </row>
    <row r="638">
      <c r="D638" s="18"/>
      <c r="E638" s="19"/>
      <c r="F638" s="19"/>
    </row>
    <row r="639">
      <c r="D639" s="18"/>
      <c r="E639" s="19"/>
      <c r="F639" s="19"/>
    </row>
    <row r="640">
      <c r="D640" s="18"/>
      <c r="E640" s="19"/>
      <c r="F640" s="19"/>
    </row>
    <row r="641">
      <c r="D641" s="18"/>
      <c r="E641" s="19"/>
      <c r="F641" s="19"/>
    </row>
    <row r="642">
      <c r="D642" s="18"/>
      <c r="E642" s="19"/>
      <c r="F642" s="19"/>
    </row>
    <row r="643">
      <c r="D643" s="18"/>
      <c r="E643" s="19"/>
      <c r="F643" s="19"/>
    </row>
    <row r="644">
      <c r="D644" s="18"/>
      <c r="E644" s="19"/>
      <c r="F644" s="19"/>
    </row>
    <row r="645">
      <c r="D645" s="18"/>
      <c r="E645" s="19"/>
      <c r="F645" s="19"/>
    </row>
    <row r="646">
      <c r="D646" s="18"/>
      <c r="E646" s="19"/>
      <c r="F646" s="19"/>
    </row>
    <row r="647">
      <c r="D647" s="18"/>
      <c r="E647" s="19"/>
      <c r="F647" s="19"/>
    </row>
    <row r="648">
      <c r="D648" s="18"/>
      <c r="E648" s="19"/>
      <c r="F648" s="19"/>
    </row>
    <row r="649">
      <c r="D649" s="18"/>
      <c r="E649" s="19"/>
      <c r="F649" s="19"/>
    </row>
    <row r="650">
      <c r="D650" s="18"/>
      <c r="E650" s="19"/>
      <c r="F650" s="19"/>
    </row>
    <row r="651">
      <c r="D651" s="18"/>
      <c r="E651" s="19"/>
      <c r="F651" s="19"/>
    </row>
    <row r="652">
      <c r="D652" s="18"/>
      <c r="E652" s="19"/>
      <c r="F652" s="19"/>
    </row>
    <row r="653">
      <c r="D653" s="18"/>
      <c r="E653" s="19"/>
      <c r="F653" s="19"/>
    </row>
    <row r="654">
      <c r="D654" s="18"/>
      <c r="E654" s="19"/>
      <c r="F654" s="19"/>
    </row>
    <row r="655">
      <c r="D655" s="18"/>
      <c r="E655" s="19"/>
      <c r="F655" s="19"/>
    </row>
    <row r="656">
      <c r="D656" s="18"/>
      <c r="E656" s="19"/>
      <c r="F656" s="19"/>
    </row>
    <row r="657">
      <c r="D657" s="18"/>
      <c r="E657" s="19"/>
      <c r="F657" s="19"/>
    </row>
    <row r="658">
      <c r="D658" s="18"/>
      <c r="E658" s="19"/>
      <c r="F658" s="19"/>
    </row>
    <row r="659">
      <c r="D659" s="18"/>
      <c r="E659" s="19"/>
      <c r="F659" s="19"/>
    </row>
    <row r="660">
      <c r="D660" s="18"/>
      <c r="E660" s="19"/>
      <c r="F660" s="19"/>
    </row>
    <row r="661">
      <c r="D661" s="18"/>
      <c r="E661" s="19"/>
      <c r="F661" s="19"/>
    </row>
    <row r="662">
      <c r="D662" s="18"/>
      <c r="E662" s="19"/>
      <c r="F662" s="19"/>
    </row>
    <row r="663">
      <c r="D663" s="18"/>
      <c r="E663" s="19"/>
      <c r="F663" s="19"/>
    </row>
    <row r="664">
      <c r="D664" s="18"/>
      <c r="E664" s="19"/>
      <c r="F664" s="19"/>
    </row>
    <row r="665">
      <c r="D665" s="18"/>
      <c r="E665" s="19"/>
      <c r="F665" s="19"/>
    </row>
    <row r="666">
      <c r="D666" s="18"/>
      <c r="E666" s="19"/>
      <c r="F666" s="19"/>
    </row>
    <row r="667">
      <c r="D667" s="18"/>
      <c r="E667" s="19"/>
      <c r="F667" s="19"/>
    </row>
    <row r="668">
      <c r="D668" s="18"/>
      <c r="E668" s="19"/>
      <c r="F668" s="19"/>
    </row>
    <row r="669">
      <c r="D669" s="18"/>
      <c r="E669" s="19"/>
      <c r="F669" s="19"/>
    </row>
    <row r="670">
      <c r="D670" s="18"/>
      <c r="E670" s="19"/>
      <c r="F670" s="19"/>
    </row>
    <row r="671">
      <c r="D671" s="18"/>
      <c r="E671" s="19"/>
      <c r="F671" s="19"/>
    </row>
    <row r="672">
      <c r="D672" s="18"/>
      <c r="E672" s="19"/>
      <c r="F672" s="19"/>
    </row>
    <row r="673">
      <c r="D673" s="18"/>
      <c r="E673" s="19"/>
      <c r="F673" s="19"/>
    </row>
    <row r="674">
      <c r="D674" s="18"/>
      <c r="E674" s="19"/>
      <c r="F674" s="19"/>
    </row>
    <row r="675">
      <c r="D675" s="18"/>
      <c r="E675" s="19"/>
      <c r="F675" s="19"/>
    </row>
    <row r="676">
      <c r="D676" s="18"/>
      <c r="E676" s="19"/>
      <c r="F676" s="19"/>
    </row>
    <row r="677">
      <c r="D677" s="18"/>
      <c r="E677" s="19"/>
      <c r="F677" s="19"/>
    </row>
    <row r="678">
      <c r="D678" s="18"/>
      <c r="E678" s="19"/>
      <c r="F678" s="19"/>
    </row>
    <row r="679">
      <c r="D679" s="18"/>
      <c r="E679" s="19"/>
      <c r="F679" s="19"/>
    </row>
    <row r="680">
      <c r="D680" s="18"/>
      <c r="E680" s="19"/>
      <c r="F680" s="19"/>
    </row>
    <row r="681">
      <c r="D681" s="18"/>
      <c r="E681" s="19"/>
      <c r="F681" s="19"/>
    </row>
    <row r="682">
      <c r="D682" s="18"/>
      <c r="E682" s="19"/>
      <c r="F682" s="19"/>
    </row>
    <row r="683">
      <c r="D683" s="18"/>
      <c r="E683" s="19"/>
      <c r="F683" s="19"/>
    </row>
    <row r="684">
      <c r="D684" s="18"/>
      <c r="E684" s="19"/>
      <c r="F684" s="19"/>
    </row>
    <row r="685">
      <c r="D685" s="18"/>
      <c r="E685" s="19"/>
      <c r="F685" s="19"/>
    </row>
    <row r="686">
      <c r="D686" s="18"/>
      <c r="E686" s="19"/>
      <c r="F686" s="19"/>
    </row>
    <row r="687">
      <c r="D687" s="18"/>
      <c r="E687" s="19"/>
      <c r="F687" s="19"/>
    </row>
    <row r="688">
      <c r="D688" s="18"/>
      <c r="E688" s="19"/>
      <c r="F688" s="19"/>
    </row>
    <row r="689">
      <c r="D689" s="18"/>
      <c r="E689" s="19"/>
      <c r="F689" s="19"/>
    </row>
    <row r="690">
      <c r="D690" s="18"/>
      <c r="E690" s="19"/>
      <c r="F690" s="19"/>
    </row>
    <row r="691">
      <c r="D691" s="18"/>
      <c r="E691" s="19"/>
      <c r="F691" s="19"/>
    </row>
    <row r="692">
      <c r="D692" s="18"/>
      <c r="E692" s="19"/>
      <c r="F692" s="19"/>
    </row>
    <row r="693">
      <c r="D693" s="18"/>
      <c r="E693" s="19"/>
      <c r="F693" s="19"/>
    </row>
    <row r="694">
      <c r="D694" s="18"/>
      <c r="E694" s="19"/>
      <c r="F694" s="19"/>
    </row>
    <row r="695">
      <c r="D695" s="18"/>
      <c r="E695" s="19"/>
      <c r="F695" s="19"/>
    </row>
    <row r="696">
      <c r="D696" s="18"/>
      <c r="E696" s="19"/>
      <c r="F696" s="19"/>
    </row>
    <row r="697">
      <c r="D697" s="18"/>
      <c r="E697" s="19"/>
      <c r="F697" s="19"/>
    </row>
    <row r="698">
      <c r="D698" s="18"/>
      <c r="E698" s="19"/>
      <c r="F698" s="19"/>
    </row>
    <row r="699">
      <c r="D699" s="18"/>
      <c r="E699" s="19"/>
      <c r="F699" s="19"/>
    </row>
    <row r="700">
      <c r="D700" s="18"/>
      <c r="E700" s="19"/>
      <c r="F700" s="19"/>
    </row>
    <row r="701">
      <c r="D701" s="18"/>
      <c r="E701" s="19"/>
      <c r="F701" s="19"/>
    </row>
    <row r="702">
      <c r="D702" s="18"/>
      <c r="E702" s="19"/>
      <c r="F702" s="19"/>
    </row>
    <row r="703">
      <c r="D703" s="18"/>
      <c r="E703" s="19"/>
      <c r="F703" s="19"/>
    </row>
    <row r="704">
      <c r="D704" s="18"/>
      <c r="E704" s="19"/>
      <c r="F704" s="19"/>
    </row>
    <row r="705">
      <c r="D705" s="18"/>
      <c r="E705" s="19"/>
      <c r="F705" s="19"/>
    </row>
    <row r="706">
      <c r="D706" s="18"/>
      <c r="E706" s="19"/>
      <c r="F706" s="19"/>
    </row>
    <row r="707">
      <c r="D707" s="18"/>
      <c r="E707" s="19"/>
      <c r="F707" s="19"/>
    </row>
    <row r="708">
      <c r="D708" s="18"/>
      <c r="E708" s="19"/>
      <c r="F708" s="19"/>
    </row>
    <row r="709">
      <c r="D709" s="18"/>
      <c r="E709" s="19"/>
      <c r="F709" s="19"/>
    </row>
    <row r="710">
      <c r="D710" s="18"/>
      <c r="E710" s="19"/>
      <c r="F710" s="19"/>
    </row>
    <row r="711">
      <c r="D711" s="18"/>
      <c r="E711" s="19"/>
      <c r="F711" s="19"/>
    </row>
    <row r="712">
      <c r="D712" s="18"/>
      <c r="E712" s="19"/>
      <c r="F712" s="19"/>
    </row>
    <row r="713">
      <c r="D713" s="18"/>
      <c r="E713" s="19"/>
      <c r="F713" s="19"/>
    </row>
    <row r="714">
      <c r="D714" s="18"/>
      <c r="E714" s="19"/>
      <c r="F714" s="19"/>
    </row>
    <row r="715">
      <c r="D715" s="18"/>
      <c r="E715" s="19"/>
      <c r="F715" s="19"/>
    </row>
    <row r="716">
      <c r="D716" s="18"/>
      <c r="E716" s="19"/>
      <c r="F716" s="19"/>
    </row>
    <row r="717">
      <c r="D717" s="18"/>
      <c r="E717" s="19"/>
      <c r="F717" s="19"/>
    </row>
    <row r="718">
      <c r="D718" s="18"/>
      <c r="E718" s="19"/>
      <c r="F718" s="19"/>
    </row>
    <row r="719">
      <c r="D719" s="18"/>
      <c r="E719" s="19"/>
      <c r="F719" s="19"/>
    </row>
    <row r="720">
      <c r="D720" s="18"/>
      <c r="E720" s="19"/>
      <c r="F720" s="19"/>
    </row>
    <row r="721">
      <c r="D721" s="18"/>
      <c r="E721" s="19"/>
      <c r="F721" s="19"/>
    </row>
    <row r="722">
      <c r="D722" s="18"/>
      <c r="E722" s="19"/>
      <c r="F722" s="19"/>
    </row>
    <row r="723">
      <c r="D723" s="18"/>
      <c r="E723" s="19"/>
      <c r="F723" s="19"/>
    </row>
    <row r="724">
      <c r="D724" s="18"/>
      <c r="E724" s="19"/>
      <c r="F724" s="19"/>
    </row>
    <row r="725">
      <c r="D725" s="18"/>
      <c r="E725" s="19"/>
      <c r="F725" s="19"/>
    </row>
    <row r="726">
      <c r="D726" s="18"/>
      <c r="E726" s="19"/>
      <c r="F726" s="19"/>
    </row>
    <row r="727">
      <c r="D727" s="18"/>
      <c r="E727" s="19"/>
      <c r="F727" s="19"/>
    </row>
    <row r="728">
      <c r="D728" s="18"/>
      <c r="E728" s="19"/>
      <c r="F728" s="19"/>
    </row>
    <row r="729">
      <c r="D729" s="18"/>
      <c r="E729" s="19"/>
      <c r="F729" s="19"/>
    </row>
    <row r="730">
      <c r="D730" s="18"/>
      <c r="E730" s="19"/>
      <c r="F730" s="19"/>
    </row>
    <row r="731">
      <c r="D731" s="18"/>
      <c r="E731" s="19"/>
      <c r="F731" s="19"/>
    </row>
    <row r="732">
      <c r="D732" s="18"/>
      <c r="E732" s="19"/>
      <c r="F732" s="19"/>
    </row>
    <row r="733">
      <c r="D733" s="18"/>
      <c r="E733" s="19"/>
      <c r="F733" s="19"/>
    </row>
    <row r="734">
      <c r="D734" s="18"/>
      <c r="E734" s="19"/>
      <c r="F734" s="19"/>
    </row>
    <row r="735">
      <c r="D735" s="18"/>
      <c r="E735" s="19"/>
      <c r="F735" s="19"/>
    </row>
    <row r="736">
      <c r="D736" s="18"/>
      <c r="E736" s="19"/>
      <c r="F736" s="19"/>
    </row>
    <row r="737">
      <c r="D737" s="18"/>
      <c r="E737" s="19"/>
      <c r="F737" s="19"/>
    </row>
    <row r="738">
      <c r="D738" s="18"/>
      <c r="E738" s="19"/>
      <c r="F738" s="19"/>
    </row>
    <row r="739">
      <c r="D739" s="18"/>
      <c r="E739" s="19"/>
      <c r="F739" s="19"/>
    </row>
    <row r="740">
      <c r="D740" s="18"/>
      <c r="E740" s="19"/>
      <c r="F740" s="19"/>
    </row>
    <row r="741">
      <c r="D741" s="18"/>
      <c r="E741" s="19"/>
      <c r="F741" s="19"/>
    </row>
    <row r="742">
      <c r="D742" s="18"/>
      <c r="E742" s="19"/>
      <c r="F742" s="19"/>
    </row>
    <row r="743">
      <c r="D743" s="18"/>
      <c r="E743" s="19"/>
      <c r="F743" s="19"/>
    </row>
    <row r="744">
      <c r="D744" s="18"/>
      <c r="E744" s="19"/>
      <c r="F744" s="19"/>
    </row>
    <row r="745">
      <c r="D745" s="18"/>
      <c r="E745" s="19"/>
      <c r="F745" s="19"/>
    </row>
    <row r="746">
      <c r="D746" s="18"/>
      <c r="E746" s="19"/>
      <c r="F746" s="19"/>
    </row>
    <row r="747">
      <c r="D747" s="18"/>
      <c r="E747" s="19"/>
      <c r="F747" s="19"/>
    </row>
    <row r="748">
      <c r="D748" s="18"/>
      <c r="E748" s="19"/>
      <c r="F748" s="19"/>
    </row>
    <row r="749">
      <c r="D749" s="18"/>
      <c r="E749" s="19"/>
      <c r="F749" s="19"/>
    </row>
    <row r="750">
      <c r="D750" s="18"/>
      <c r="E750" s="19"/>
      <c r="F750" s="19"/>
    </row>
    <row r="751">
      <c r="D751" s="18"/>
      <c r="E751" s="19"/>
      <c r="F751" s="19"/>
    </row>
    <row r="752">
      <c r="D752" s="18"/>
      <c r="E752" s="19"/>
      <c r="F752" s="19"/>
    </row>
    <row r="753">
      <c r="D753" s="18"/>
      <c r="E753" s="19"/>
      <c r="F753" s="19"/>
    </row>
    <row r="754">
      <c r="D754" s="18"/>
      <c r="E754" s="19"/>
      <c r="F754" s="19"/>
    </row>
    <row r="755">
      <c r="D755" s="18"/>
      <c r="E755" s="19"/>
      <c r="F755" s="19"/>
    </row>
    <row r="756">
      <c r="D756" s="18"/>
      <c r="E756" s="19"/>
      <c r="F756" s="19"/>
    </row>
    <row r="757">
      <c r="D757" s="18"/>
      <c r="E757" s="19"/>
      <c r="F757" s="19"/>
    </row>
    <row r="758">
      <c r="D758" s="18"/>
      <c r="E758" s="19"/>
      <c r="F758" s="19"/>
    </row>
    <row r="759">
      <c r="D759" s="18"/>
      <c r="E759" s="19"/>
      <c r="F759" s="19"/>
    </row>
    <row r="760">
      <c r="D760" s="18"/>
      <c r="E760" s="19"/>
      <c r="F760" s="19"/>
    </row>
    <row r="761">
      <c r="D761" s="18"/>
      <c r="E761" s="19"/>
      <c r="F761" s="19"/>
    </row>
    <row r="762">
      <c r="D762" s="18"/>
      <c r="E762" s="19"/>
      <c r="F762" s="19"/>
    </row>
    <row r="763">
      <c r="D763" s="18"/>
      <c r="E763" s="19"/>
      <c r="F763" s="19"/>
    </row>
    <row r="764">
      <c r="D764" s="18"/>
      <c r="E764" s="19"/>
      <c r="F764" s="19"/>
    </row>
    <row r="765">
      <c r="D765" s="18"/>
      <c r="E765" s="19"/>
      <c r="F765" s="19"/>
    </row>
    <row r="766">
      <c r="D766" s="18"/>
      <c r="E766" s="19"/>
      <c r="F766" s="19"/>
    </row>
    <row r="767">
      <c r="D767" s="18"/>
      <c r="E767" s="19"/>
      <c r="F767" s="19"/>
    </row>
    <row r="768">
      <c r="D768" s="18"/>
      <c r="E768" s="19"/>
      <c r="F768" s="19"/>
    </row>
    <row r="769">
      <c r="D769" s="18"/>
      <c r="E769" s="19"/>
      <c r="F769" s="19"/>
    </row>
    <row r="770">
      <c r="D770" s="18"/>
      <c r="E770" s="19"/>
      <c r="F770" s="19"/>
    </row>
    <row r="771">
      <c r="D771" s="18"/>
      <c r="E771" s="19"/>
      <c r="F771" s="19"/>
    </row>
    <row r="772">
      <c r="D772" s="18"/>
      <c r="E772" s="19"/>
      <c r="F772" s="19"/>
    </row>
    <row r="773">
      <c r="D773" s="18"/>
      <c r="E773" s="19"/>
      <c r="F773" s="19"/>
    </row>
    <row r="774">
      <c r="D774" s="18"/>
      <c r="E774" s="19"/>
      <c r="F774" s="19"/>
    </row>
    <row r="775">
      <c r="D775" s="18"/>
      <c r="E775" s="19"/>
      <c r="F775" s="19"/>
    </row>
    <row r="776">
      <c r="D776" s="18"/>
      <c r="E776" s="19"/>
      <c r="F776" s="19"/>
    </row>
    <row r="777">
      <c r="D777" s="18"/>
      <c r="E777" s="19"/>
      <c r="F777" s="19"/>
    </row>
    <row r="778">
      <c r="D778" s="18"/>
      <c r="E778" s="19"/>
      <c r="F778" s="19"/>
    </row>
    <row r="779">
      <c r="D779" s="18"/>
      <c r="E779" s="19"/>
      <c r="F779" s="19"/>
    </row>
    <row r="780">
      <c r="D780" s="18"/>
      <c r="E780" s="19"/>
      <c r="F780" s="19"/>
    </row>
    <row r="781">
      <c r="D781" s="18"/>
      <c r="E781" s="19"/>
      <c r="F781" s="19"/>
    </row>
    <row r="782">
      <c r="D782" s="18"/>
      <c r="E782" s="19"/>
      <c r="F782" s="19"/>
    </row>
    <row r="783">
      <c r="D783" s="18"/>
      <c r="E783" s="19"/>
      <c r="F783" s="19"/>
    </row>
    <row r="784">
      <c r="D784" s="18"/>
      <c r="E784" s="19"/>
      <c r="F784" s="19"/>
    </row>
    <row r="785">
      <c r="D785" s="18"/>
      <c r="E785" s="19"/>
      <c r="F785" s="19"/>
    </row>
    <row r="786">
      <c r="D786" s="18"/>
      <c r="E786" s="19"/>
      <c r="F786" s="19"/>
    </row>
    <row r="787">
      <c r="D787" s="18"/>
      <c r="E787" s="19"/>
      <c r="F787" s="19"/>
    </row>
    <row r="788">
      <c r="D788" s="18"/>
      <c r="E788" s="19"/>
      <c r="F788" s="19"/>
    </row>
    <row r="789">
      <c r="D789" s="18"/>
      <c r="E789" s="19"/>
      <c r="F789" s="19"/>
    </row>
    <row r="790">
      <c r="D790" s="18"/>
      <c r="E790" s="19"/>
      <c r="F790" s="19"/>
    </row>
    <row r="791">
      <c r="D791" s="18"/>
      <c r="E791" s="19"/>
      <c r="F791" s="19"/>
    </row>
    <row r="792">
      <c r="D792" s="18"/>
      <c r="E792" s="19"/>
      <c r="F792" s="19"/>
    </row>
    <row r="793">
      <c r="D793" s="18"/>
      <c r="E793" s="19"/>
      <c r="F793" s="19"/>
    </row>
    <row r="794">
      <c r="D794" s="18"/>
      <c r="E794" s="19"/>
      <c r="F794" s="19"/>
    </row>
    <row r="795">
      <c r="D795" s="18"/>
      <c r="E795" s="19"/>
      <c r="F795" s="19"/>
    </row>
    <row r="796">
      <c r="D796" s="18"/>
      <c r="E796" s="19"/>
      <c r="F796" s="19"/>
    </row>
    <row r="797">
      <c r="D797" s="18"/>
      <c r="E797" s="19"/>
      <c r="F797" s="19"/>
    </row>
    <row r="798">
      <c r="D798" s="18"/>
      <c r="E798" s="19"/>
      <c r="F798" s="19"/>
    </row>
    <row r="799">
      <c r="D799" s="18"/>
      <c r="E799" s="19"/>
      <c r="F799" s="19"/>
    </row>
    <row r="800">
      <c r="D800" s="18"/>
      <c r="E800" s="19"/>
      <c r="F800" s="19"/>
    </row>
    <row r="801">
      <c r="D801" s="18"/>
      <c r="E801" s="19"/>
      <c r="F801" s="19"/>
    </row>
    <row r="802">
      <c r="D802" s="18"/>
      <c r="E802" s="19"/>
      <c r="F802" s="19"/>
    </row>
    <row r="803">
      <c r="D803" s="18"/>
      <c r="E803" s="19"/>
      <c r="F803" s="19"/>
    </row>
    <row r="804">
      <c r="D804" s="18"/>
      <c r="E804" s="19"/>
      <c r="F804" s="19"/>
    </row>
    <row r="805">
      <c r="D805" s="18"/>
      <c r="E805" s="19"/>
      <c r="F805" s="19"/>
    </row>
    <row r="806">
      <c r="D806" s="18"/>
      <c r="E806" s="19"/>
      <c r="F806" s="19"/>
    </row>
    <row r="807">
      <c r="D807" s="18"/>
      <c r="E807" s="19"/>
      <c r="F807" s="19"/>
    </row>
    <row r="808">
      <c r="D808" s="18"/>
      <c r="E808" s="19"/>
      <c r="F808" s="19"/>
    </row>
    <row r="809">
      <c r="D809" s="18"/>
      <c r="E809" s="19"/>
      <c r="F809" s="19"/>
    </row>
    <row r="810">
      <c r="D810" s="18"/>
      <c r="E810" s="19"/>
      <c r="F810" s="19"/>
    </row>
    <row r="811">
      <c r="D811" s="18"/>
      <c r="E811" s="19"/>
      <c r="F811" s="19"/>
    </row>
    <row r="812">
      <c r="D812" s="18"/>
      <c r="E812" s="19"/>
      <c r="F812" s="19"/>
    </row>
    <row r="813">
      <c r="D813" s="18"/>
      <c r="E813" s="19"/>
      <c r="F813" s="19"/>
    </row>
    <row r="814">
      <c r="D814" s="18"/>
      <c r="E814" s="19"/>
      <c r="F814" s="19"/>
    </row>
    <row r="815">
      <c r="D815" s="18"/>
      <c r="E815" s="19"/>
      <c r="F815" s="19"/>
    </row>
    <row r="816">
      <c r="D816" s="18"/>
      <c r="E816" s="19"/>
      <c r="F816" s="19"/>
    </row>
    <row r="817">
      <c r="D817" s="18"/>
      <c r="E817" s="19"/>
      <c r="F817" s="19"/>
    </row>
    <row r="818">
      <c r="D818" s="18"/>
      <c r="E818" s="19"/>
      <c r="F818" s="19"/>
    </row>
    <row r="819">
      <c r="D819" s="18"/>
      <c r="E819" s="19"/>
      <c r="F819" s="19"/>
    </row>
    <row r="820">
      <c r="D820" s="18"/>
      <c r="E820" s="19"/>
      <c r="F820" s="19"/>
    </row>
    <row r="821">
      <c r="D821" s="18"/>
      <c r="E821" s="19"/>
      <c r="F821" s="19"/>
    </row>
    <row r="822">
      <c r="D822" s="18"/>
      <c r="E822" s="19"/>
      <c r="F822" s="19"/>
    </row>
    <row r="823">
      <c r="D823" s="18"/>
      <c r="E823" s="19"/>
      <c r="F823" s="19"/>
    </row>
    <row r="824">
      <c r="D824" s="18"/>
      <c r="E824" s="19"/>
      <c r="F824" s="19"/>
    </row>
    <row r="825">
      <c r="D825" s="18"/>
      <c r="E825" s="19"/>
      <c r="F825" s="19"/>
    </row>
    <row r="826">
      <c r="D826" s="18"/>
      <c r="E826" s="19"/>
      <c r="F826" s="19"/>
    </row>
    <row r="827">
      <c r="D827" s="18"/>
      <c r="E827" s="19"/>
      <c r="F827" s="19"/>
    </row>
    <row r="828">
      <c r="D828" s="18"/>
      <c r="E828" s="19"/>
      <c r="F828" s="19"/>
    </row>
    <row r="829">
      <c r="D829" s="18"/>
      <c r="E829" s="19"/>
      <c r="F829" s="19"/>
    </row>
    <row r="830">
      <c r="D830" s="18"/>
      <c r="E830" s="19"/>
      <c r="F830" s="19"/>
    </row>
    <row r="831">
      <c r="D831" s="18"/>
      <c r="E831" s="19"/>
      <c r="F831" s="19"/>
    </row>
    <row r="832">
      <c r="D832" s="18"/>
      <c r="E832" s="19"/>
      <c r="F832" s="19"/>
    </row>
    <row r="833">
      <c r="D833" s="18"/>
      <c r="E833" s="19"/>
      <c r="F833" s="19"/>
    </row>
    <row r="834">
      <c r="D834" s="18"/>
      <c r="E834" s="19"/>
      <c r="F834" s="19"/>
    </row>
    <row r="835">
      <c r="D835" s="18"/>
      <c r="E835" s="19"/>
      <c r="F835" s="19"/>
    </row>
    <row r="836">
      <c r="D836" s="18"/>
      <c r="E836" s="19"/>
      <c r="F836" s="19"/>
    </row>
    <row r="837">
      <c r="D837" s="18"/>
      <c r="E837" s="19"/>
      <c r="F837" s="19"/>
    </row>
    <row r="838">
      <c r="D838" s="18"/>
      <c r="E838" s="19"/>
      <c r="F838" s="19"/>
    </row>
    <row r="839">
      <c r="D839" s="18"/>
      <c r="E839" s="19"/>
      <c r="F839" s="19"/>
    </row>
    <row r="840">
      <c r="D840" s="18"/>
      <c r="E840" s="19"/>
      <c r="F840" s="19"/>
    </row>
    <row r="841">
      <c r="D841" s="18"/>
      <c r="E841" s="19"/>
      <c r="F841" s="19"/>
    </row>
    <row r="842">
      <c r="D842" s="18"/>
      <c r="E842" s="19"/>
      <c r="F842" s="19"/>
    </row>
    <row r="843">
      <c r="D843" s="18"/>
      <c r="E843" s="19"/>
      <c r="F843" s="19"/>
    </row>
    <row r="844">
      <c r="D844" s="18"/>
      <c r="E844" s="19"/>
      <c r="F844" s="19"/>
    </row>
    <row r="845">
      <c r="D845" s="18"/>
      <c r="E845" s="19"/>
      <c r="F845" s="19"/>
    </row>
    <row r="846">
      <c r="D846" s="18"/>
      <c r="E846" s="19"/>
      <c r="F846" s="19"/>
    </row>
    <row r="847">
      <c r="D847" s="18"/>
      <c r="E847" s="19"/>
      <c r="F847" s="19"/>
    </row>
    <row r="848">
      <c r="D848" s="18"/>
      <c r="E848" s="19"/>
      <c r="F848" s="19"/>
    </row>
    <row r="849">
      <c r="D849" s="18"/>
      <c r="E849" s="19"/>
      <c r="F849" s="19"/>
    </row>
    <row r="850">
      <c r="D850" s="18"/>
      <c r="E850" s="19"/>
      <c r="F850" s="19"/>
    </row>
    <row r="851">
      <c r="D851" s="18"/>
      <c r="E851" s="19"/>
      <c r="F851" s="19"/>
    </row>
    <row r="852">
      <c r="D852" s="18"/>
      <c r="E852" s="19"/>
      <c r="F852" s="19"/>
    </row>
    <row r="853">
      <c r="D853" s="18"/>
      <c r="E853" s="19"/>
      <c r="F853" s="19"/>
    </row>
    <row r="854">
      <c r="D854" s="18"/>
      <c r="E854" s="19"/>
      <c r="F854" s="19"/>
    </row>
    <row r="855">
      <c r="D855" s="18"/>
      <c r="E855" s="19"/>
      <c r="F855" s="19"/>
    </row>
    <row r="856">
      <c r="D856" s="18"/>
      <c r="E856" s="19"/>
      <c r="F856" s="19"/>
    </row>
    <row r="857">
      <c r="D857" s="18"/>
      <c r="E857" s="19"/>
      <c r="F857" s="19"/>
    </row>
    <row r="858">
      <c r="D858" s="18"/>
      <c r="E858" s="19"/>
      <c r="F858" s="19"/>
    </row>
    <row r="859">
      <c r="D859" s="18"/>
      <c r="E859" s="19"/>
      <c r="F859" s="19"/>
    </row>
    <row r="860">
      <c r="D860" s="18"/>
      <c r="E860" s="19"/>
      <c r="F860" s="19"/>
    </row>
    <row r="861">
      <c r="D861" s="18"/>
      <c r="E861" s="19"/>
      <c r="F861" s="19"/>
    </row>
    <row r="862">
      <c r="D862" s="18"/>
      <c r="E862" s="19"/>
      <c r="F862" s="19"/>
    </row>
    <row r="863">
      <c r="D863" s="18"/>
      <c r="E863" s="19"/>
      <c r="F863" s="19"/>
    </row>
    <row r="864">
      <c r="D864" s="18"/>
      <c r="E864" s="19"/>
      <c r="F864" s="19"/>
    </row>
    <row r="865">
      <c r="D865" s="18"/>
      <c r="E865" s="19"/>
      <c r="F865" s="19"/>
    </row>
    <row r="866">
      <c r="D866" s="18"/>
      <c r="E866" s="19"/>
      <c r="F866" s="19"/>
    </row>
    <row r="867">
      <c r="D867" s="18"/>
      <c r="E867" s="19"/>
      <c r="F867" s="19"/>
    </row>
    <row r="868">
      <c r="D868" s="18"/>
      <c r="E868" s="19"/>
      <c r="F868" s="19"/>
    </row>
    <row r="869">
      <c r="D869" s="18"/>
      <c r="E869" s="19"/>
      <c r="F869" s="19"/>
    </row>
    <row r="870">
      <c r="D870" s="18"/>
      <c r="E870" s="19"/>
      <c r="F870" s="19"/>
    </row>
    <row r="871">
      <c r="D871" s="18"/>
      <c r="E871" s="19"/>
      <c r="F871" s="19"/>
    </row>
    <row r="872">
      <c r="D872" s="18"/>
      <c r="E872" s="19"/>
      <c r="F872" s="19"/>
    </row>
    <row r="873">
      <c r="D873" s="18"/>
      <c r="E873" s="19"/>
      <c r="F873" s="19"/>
    </row>
    <row r="874">
      <c r="D874" s="18"/>
      <c r="E874" s="19"/>
      <c r="F874" s="19"/>
    </row>
    <row r="875">
      <c r="D875" s="18"/>
      <c r="E875" s="19"/>
      <c r="F875" s="19"/>
    </row>
    <row r="876">
      <c r="D876" s="18"/>
      <c r="E876" s="19"/>
      <c r="F876" s="19"/>
    </row>
    <row r="877">
      <c r="D877" s="18"/>
      <c r="E877" s="19"/>
      <c r="F877" s="19"/>
    </row>
    <row r="878">
      <c r="D878" s="18"/>
      <c r="E878" s="19"/>
      <c r="F878" s="19"/>
    </row>
    <row r="879">
      <c r="D879" s="18"/>
      <c r="E879" s="19"/>
      <c r="F879" s="19"/>
    </row>
    <row r="880">
      <c r="D880" s="18"/>
      <c r="E880" s="19"/>
      <c r="F880" s="19"/>
    </row>
    <row r="881">
      <c r="D881" s="18"/>
      <c r="E881" s="19"/>
      <c r="F881" s="19"/>
    </row>
    <row r="882">
      <c r="D882" s="18"/>
      <c r="E882" s="19"/>
      <c r="F882" s="19"/>
    </row>
    <row r="883">
      <c r="D883" s="18"/>
      <c r="E883" s="19"/>
      <c r="F883" s="19"/>
    </row>
    <row r="884">
      <c r="D884" s="18"/>
      <c r="E884" s="19"/>
      <c r="F884" s="19"/>
    </row>
    <row r="885">
      <c r="D885" s="18"/>
      <c r="E885" s="19"/>
      <c r="F885" s="19"/>
    </row>
    <row r="886">
      <c r="D886" s="18"/>
      <c r="E886" s="19"/>
      <c r="F886" s="19"/>
    </row>
    <row r="887">
      <c r="D887" s="18"/>
      <c r="E887" s="19"/>
      <c r="F887" s="19"/>
    </row>
    <row r="888">
      <c r="D888" s="18"/>
      <c r="E888" s="19"/>
      <c r="F888" s="19"/>
    </row>
    <row r="889">
      <c r="D889" s="18"/>
      <c r="E889" s="19"/>
      <c r="F889" s="19"/>
    </row>
    <row r="890">
      <c r="D890" s="18"/>
      <c r="E890" s="19"/>
      <c r="F890" s="19"/>
    </row>
    <row r="891">
      <c r="D891" s="18"/>
      <c r="E891" s="19"/>
      <c r="F891" s="19"/>
    </row>
    <row r="892">
      <c r="D892" s="18"/>
      <c r="E892" s="19"/>
      <c r="F892" s="19"/>
    </row>
    <row r="893">
      <c r="D893" s="18"/>
      <c r="E893" s="19"/>
      <c r="F893" s="19"/>
    </row>
    <row r="894">
      <c r="D894" s="18"/>
      <c r="E894" s="19"/>
      <c r="F894" s="19"/>
    </row>
    <row r="895">
      <c r="D895" s="18"/>
      <c r="E895" s="19"/>
      <c r="F895" s="19"/>
    </row>
    <row r="896">
      <c r="D896" s="18"/>
      <c r="E896" s="19"/>
      <c r="F896" s="19"/>
    </row>
    <row r="897">
      <c r="D897" s="18"/>
      <c r="E897" s="19"/>
      <c r="F897" s="19"/>
    </row>
    <row r="898">
      <c r="D898" s="18"/>
      <c r="E898" s="19"/>
      <c r="F898" s="19"/>
    </row>
    <row r="899">
      <c r="D899" s="18"/>
      <c r="E899" s="19"/>
      <c r="F899" s="19"/>
    </row>
    <row r="900">
      <c r="D900" s="18"/>
      <c r="E900" s="19"/>
      <c r="F900" s="19"/>
    </row>
    <row r="901">
      <c r="D901" s="18"/>
      <c r="E901" s="19"/>
      <c r="F901" s="19"/>
    </row>
    <row r="902">
      <c r="D902" s="18"/>
      <c r="E902" s="19"/>
      <c r="F902" s="19"/>
    </row>
    <row r="903">
      <c r="D903" s="18"/>
      <c r="E903" s="19"/>
      <c r="F903" s="19"/>
    </row>
    <row r="904">
      <c r="D904" s="18"/>
      <c r="E904" s="19"/>
      <c r="F904" s="19"/>
    </row>
    <row r="905">
      <c r="D905" s="18"/>
      <c r="E905" s="19"/>
      <c r="F905" s="19"/>
    </row>
    <row r="906">
      <c r="D906" s="18"/>
      <c r="E906" s="19"/>
      <c r="F906" s="19"/>
    </row>
    <row r="907">
      <c r="D907" s="18"/>
      <c r="E907" s="19"/>
      <c r="F907" s="19"/>
    </row>
    <row r="908">
      <c r="D908" s="18"/>
      <c r="E908" s="19"/>
      <c r="F908" s="19"/>
    </row>
    <row r="909">
      <c r="D909" s="18"/>
      <c r="E909" s="19"/>
      <c r="F909" s="19"/>
    </row>
    <row r="910">
      <c r="D910" s="18"/>
      <c r="E910" s="19"/>
      <c r="F910" s="19"/>
    </row>
    <row r="911">
      <c r="D911" s="18"/>
      <c r="E911" s="19"/>
      <c r="F911" s="19"/>
    </row>
    <row r="912">
      <c r="D912" s="18"/>
      <c r="E912" s="19"/>
      <c r="F912" s="19"/>
    </row>
    <row r="913">
      <c r="D913" s="18"/>
      <c r="E913" s="19"/>
      <c r="F913" s="19"/>
    </row>
    <row r="914">
      <c r="D914" s="18"/>
      <c r="E914" s="19"/>
      <c r="F914" s="19"/>
    </row>
    <row r="915">
      <c r="D915" s="18"/>
      <c r="E915" s="19"/>
      <c r="F915" s="19"/>
    </row>
    <row r="916">
      <c r="D916" s="18"/>
      <c r="E916" s="19"/>
      <c r="F916" s="19"/>
    </row>
    <row r="917">
      <c r="D917" s="18"/>
      <c r="E917" s="19"/>
      <c r="F917" s="19"/>
    </row>
    <row r="918">
      <c r="D918" s="18"/>
      <c r="E918" s="19"/>
      <c r="F918" s="19"/>
    </row>
    <row r="919">
      <c r="D919" s="18"/>
      <c r="E919" s="19"/>
      <c r="F919" s="19"/>
    </row>
    <row r="920">
      <c r="D920" s="18"/>
      <c r="E920" s="19"/>
      <c r="F920" s="19"/>
    </row>
    <row r="921">
      <c r="D921" s="18"/>
      <c r="E921" s="19"/>
      <c r="F921" s="19"/>
    </row>
    <row r="922">
      <c r="D922" s="18"/>
      <c r="E922" s="19"/>
      <c r="F922" s="19"/>
    </row>
    <row r="923">
      <c r="D923" s="18"/>
      <c r="E923" s="19"/>
      <c r="F923" s="19"/>
    </row>
    <row r="924">
      <c r="D924" s="18"/>
      <c r="E924" s="19"/>
      <c r="F924" s="19"/>
    </row>
    <row r="925">
      <c r="D925" s="18"/>
      <c r="E925" s="19"/>
      <c r="F925" s="19"/>
    </row>
    <row r="926">
      <c r="D926" s="18"/>
      <c r="E926" s="19"/>
      <c r="F926" s="19"/>
    </row>
    <row r="927">
      <c r="D927" s="18"/>
      <c r="E927" s="19"/>
      <c r="F927" s="19"/>
    </row>
    <row r="928">
      <c r="D928" s="18"/>
      <c r="E928" s="19"/>
      <c r="F928" s="19"/>
    </row>
    <row r="929">
      <c r="D929" s="18"/>
      <c r="E929" s="19"/>
      <c r="F929" s="19"/>
    </row>
    <row r="930">
      <c r="D930" s="18"/>
      <c r="E930" s="19"/>
      <c r="F930" s="19"/>
    </row>
    <row r="931">
      <c r="D931" s="18"/>
      <c r="E931" s="19"/>
      <c r="F931" s="19"/>
    </row>
    <row r="932">
      <c r="D932" s="18"/>
      <c r="E932" s="19"/>
      <c r="F932" s="19"/>
    </row>
    <row r="933">
      <c r="D933" s="18"/>
      <c r="E933" s="19"/>
      <c r="F933" s="19"/>
    </row>
    <row r="934">
      <c r="D934" s="18"/>
      <c r="E934" s="19"/>
      <c r="F934" s="19"/>
    </row>
    <row r="935">
      <c r="D935" s="18"/>
      <c r="E935" s="19"/>
      <c r="F935" s="19"/>
    </row>
    <row r="936">
      <c r="D936" s="18"/>
      <c r="E936" s="19"/>
      <c r="F936" s="19"/>
    </row>
    <row r="937">
      <c r="D937" s="18"/>
      <c r="E937" s="19"/>
      <c r="F937" s="19"/>
    </row>
    <row r="938">
      <c r="D938" s="18"/>
      <c r="E938" s="19"/>
      <c r="F938" s="19"/>
    </row>
    <row r="939">
      <c r="D939" s="18"/>
      <c r="E939" s="19"/>
      <c r="F939" s="19"/>
    </row>
    <row r="940">
      <c r="D940" s="18"/>
      <c r="E940" s="19"/>
      <c r="F940" s="19"/>
    </row>
    <row r="941">
      <c r="D941" s="18"/>
      <c r="E941" s="19"/>
      <c r="F941" s="19"/>
    </row>
    <row r="942">
      <c r="D942" s="18"/>
      <c r="E942" s="19"/>
      <c r="F942" s="19"/>
    </row>
    <row r="943">
      <c r="D943" s="18"/>
      <c r="E943" s="19"/>
      <c r="F943" s="19"/>
    </row>
    <row r="944">
      <c r="D944" s="18"/>
      <c r="E944" s="19"/>
      <c r="F944" s="19"/>
    </row>
    <row r="945">
      <c r="D945" s="18"/>
      <c r="E945" s="19"/>
      <c r="F945" s="19"/>
    </row>
    <row r="946">
      <c r="D946" s="18"/>
      <c r="E946" s="19"/>
      <c r="F946" s="19"/>
    </row>
    <row r="947">
      <c r="D947" s="18"/>
      <c r="E947" s="19"/>
      <c r="F947" s="19"/>
    </row>
    <row r="948">
      <c r="D948" s="18"/>
      <c r="E948" s="19"/>
      <c r="F948" s="19"/>
    </row>
    <row r="949">
      <c r="D949" s="18"/>
      <c r="E949" s="19"/>
      <c r="F949" s="19"/>
    </row>
    <row r="950">
      <c r="D950" s="18"/>
      <c r="E950" s="19"/>
      <c r="F950" s="19"/>
    </row>
    <row r="951">
      <c r="D951" s="18"/>
      <c r="E951" s="19"/>
      <c r="F951" s="19"/>
    </row>
    <row r="952">
      <c r="D952" s="18"/>
      <c r="E952" s="19"/>
      <c r="F952" s="19"/>
    </row>
    <row r="953">
      <c r="D953" s="18"/>
      <c r="E953" s="19"/>
      <c r="F953" s="19"/>
    </row>
    <row r="954">
      <c r="D954" s="18"/>
      <c r="E954" s="19"/>
      <c r="F954" s="19"/>
    </row>
    <row r="955">
      <c r="D955" s="18"/>
      <c r="E955" s="19"/>
      <c r="F955" s="19"/>
    </row>
    <row r="956">
      <c r="D956" s="18"/>
      <c r="E956" s="19"/>
      <c r="F956" s="19"/>
    </row>
    <row r="957">
      <c r="D957" s="18"/>
      <c r="E957" s="19"/>
      <c r="F957" s="19"/>
    </row>
    <row r="958">
      <c r="D958" s="18"/>
      <c r="E958" s="19"/>
      <c r="F958" s="19"/>
    </row>
    <row r="959">
      <c r="D959" s="18"/>
      <c r="E959" s="19"/>
      <c r="F959" s="19"/>
    </row>
    <row r="960">
      <c r="D960" s="18"/>
      <c r="E960" s="19"/>
      <c r="F960" s="19"/>
    </row>
    <row r="961">
      <c r="D961" s="18"/>
      <c r="E961" s="19"/>
      <c r="F961" s="19"/>
    </row>
    <row r="962">
      <c r="D962" s="18"/>
      <c r="E962" s="19"/>
      <c r="F962" s="19"/>
    </row>
    <row r="963">
      <c r="D963" s="18"/>
      <c r="E963" s="19"/>
      <c r="F963" s="19"/>
    </row>
    <row r="964">
      <c r="D964" s="18"/>
      <c r="E964" s="19"/>
      <c r="F964" s="19"/>
    </row>
    <row r="965">
      <c r="D965" s="18"/>
      <c r="E965" s="19"/>
      <c r="F965" s="19"/>
    </row>
    <row r="966">
      <c r="D966" s="18"/>
      <c r="E966" s="19"/>
      <c r="F966" s="19"/>
    </row>
    <row r="967">
      <c r="D967" s="18"/>
      <c r="E967" s="19"/>
      <c r="F967" s="19"/>
    </row>
    <row r="968">
      <c r="D968" s="18"/>
      <c r="E968" s="19"/>
      <c r="F968" s="19"/>
    </row>
    <row r="969">
      <c r="D969" s="18"/>
      <c r="E969" s="19"/>
      <c r="F969" s="19"/>
    </row>
    <row r="970">
      <c r="D970" s="18"/>
      <c r="E970" s="19"/>
      <c r="F970" s="19"/>
    </row>
    <row r="971">
      <c r="D971" s="18"/>
      <c r="E971" s="19"/>
      <c r="F971" s="19"/>
    </row>
    <row r="972">
      <c r="D972" s="18"/>
      <c r="E972" s="19"/>
      <c r="F972" s="19"/>
    </row>
    <row r="973">
      <c r="D973" s="18"/>
      <c r="E973" s="19"/>
      <c r="F973" s="19"/>
    </row>
    <row r="974">
      <c r="D974" s="18"/>
      <c r="E974" s="19"/>
      <c r="F974" s="19"/>
    </row>
    <row r="975">
      <c r="D975" s="18"/>
      <c r="E975" s="19"/>
      <c r="F975" s="19"/>
    </row>
    <row r="976">
      <c r="D976" s="18"/>
      <c r="E976" s="19"/>
      <c r="F976" s="19"/>
    </row>
    <row r="977">
      <c r="D977" s="18"/>
      <c r="E977" s="19"/>
      <c r="F977" s="19"/>
    </row>
    <row r="978">
      <c r="D978" s="18"/>
      <c r="E978" s="19"/>
      <c r="F978" s="19"/>
    </row>
    <row r="979">
      <c r="D979" s="18"/>
      <c r="E979" s="19"/>
      <c r="F979" s="19"/>
    </row>
    <row r="980">
      <c r="D980" s="18"/>
      <c r="E980" s="19"/>
      <c r="F980" s="19"/>
    </row>
    <row r="981">
      <c r="D981" s="18"/>
      <c r="E981" s="19"/>
      <c r="F981" s="19"/>
    </row>
    <row r="982">
      <c r="D982" s="18"/>
      <c r="E982" s="19"/>
      <c r="F982" s="19"/>
    </row>
    <row r="983">
      <c r="D983" s="18"/>
      <c r="E983" s="19"/>
      <c r="F983" s="19"/>
    </row>
    <row r="984">
      <c r="D984" s="18"/>
      <c r="E984" s="19"/>
      <c r="F984" s="19"/>
    </row>
    <row r="985">
      <c r="D985" s="18"/>
      <c r="E985" s="19"/>
      <c r="F985" s="19"/>
    </row>
    <row r="986">
      <c r="D986" s="18"/>
      <c r="E986" s="19"/>
      <c r="F986" s="19"/>
    </row>
    <row r="987">
      <c r="D987" s="18"/>
      <c r="E987" s="19"/>
      <c r="F987" s="19"/>
    </row>
    <row r="988">
      <c r="D988" s="18"/>
      <c r="E988" s="19"/>
      <c r="F988" s="19"/>
    </row>
    <row r="989">
      <c r="D989" s="18"/>
      <c r="E989" s="19"/>
      <c r="F989" s="19"/>
    </row>
    <row r="990">
      <c r="D990" s="18"/>
      <c r="E990" s="19"/>
      <c r="F990" s="19"/>
    </row>
    <row r="991">
      <c r="D991" s="18"/>
      <c r="E991" s="19"/>
      <c r="F991" s="19"/>
    </row>
    <row r="992">
      <c r="D992" s="18"/>
      <c r="E992" s="19"/>
      <c r="F992" s="19"/>
    </row>
    <row r="993">
      <c r="D993" s="18"/>
      <c r="E993" s="19"/>
      <c r="F993" s="19"/>
    </row>
    <row r="994">
      <c r="D994" s="18"/>
      <c r="E994" s="19"/>
      <c r="F994" s="19"/>
    </row>
    <row r="995">
      <c r="D995" s="18"/>
      <c r="E995" s="19"/>
      <c r="F995" s="19"/>
    </row>
    <row r="996">
      <c r="D996" s="18"/>
      <c r="E996" s="19"/>
      <c r="F996" s="19"/>
    </row>
    <row r="997">
      <c r="D997" s="18"/>
      <c r="E997" s="19"/>
      <c r="F997" s="19"/>
    </row>
    <row r="998">
      <c r="D998" s="18"/>
      <c r="E998" s="19"/>
      <c r="F998" s="19"/>
    </row>
    <row r="999">
      <c r="D999" s="18"/>
      <c r="E999" s="19"/>
      <c r="F999" s="19"/>
    </row>
    <row r="1000">
      <c r="D1000" s="18"/>
      <c r="E1000" s="19"/>
      <c r="F1000" s="19"/>
    </row>
    <row r="1001">
      <c r="D1001" s="18"/>
      <c r="E1001" s="19"/>
      <c r="F1001" s="19"/>
    </row>
    <row r="1002">
      <c r="D1002" s="18"/>
      <c r="E1002" s="19"/>
      <c r="F1002" s="19"/>
    </row>
    <row r="1003">
      <c r="D1003" s="18"/>
      <c r="E1003" s="19"/>
      <c r="F1003" s="19"/>
    </row>
    <row r="1004">
      <c r="D1004" s="18"/>
      <c r="E1004" s="19"/>
      <c r="F1004" s="19"/>
    </row>
    <row r="1005">
      <c r="D1005" s="18"/>
      <c r="E1005" s="19"/>
      <c r="F1005" s="19"/>
    </row>
    <row r="1006">
      <c r="D1006" s="18"/>
      <c r="E1006" s="19"/>
      <c r="F1006" s="19"/>
    </row>
    <row r="1007">
      <c r="D1007" s="18"/>
      <c r="E1007" s="19"/>
      <c r="F1007" s="19"/>
    </row>
    <row r="1008">
      <c r="D1008" s="18"/>
      <c r="E1008" s="19"/>
      <c r="F1008" s="19"/>
    </row>
    <row r="1009">
      <c r="D1009" s="18"/>
      <c r="E1009" s="19"/>
      <c r="F1009" s="19"/>
    </row>
    <row r="1010">
      <c r="D1010" s="18"/>
      <c r="E1010" s="19"/>
      <c r="F1010" s="19"/>
    </row>
    <row r="1011">
      <c r="D1011" s="18"/>
      <c r="E1011" s="19"/>
      <c r="F1011" s="19"/>
    </row>
    <row r="1012">
      <c r="D1012" s="18"/>
      <c r="E1012" s="19"/>
      <c r="F1012" s="19"/>
    </row>
    <row r="1013">
      <c r="D1013" s="18"/>
      <c r="E1013" s="19"/>
      <c r="F1013" s="19"/>
    </row>
    <row r="1014">
      <c r="D1014" s="18"/>
      <c r="E1014" s="19"/>
      <c r="F1014" s="19"/>
    </row>
    <row r="1015">
      <c r="D1015" s="18"/>
      <c r="E1015" s="19"/>
      <c r="F1015" s="19"/>
    </row>
    <row r="1016">
      <c r="D1016" s="18"/>
      <c r="E1016" s="19"/>
      <c r="F1016" s="19"/>
    </row>
    <row r="1017">
      <c r="D1017" s="18"/>
      <c r="E1017" s="19"/>
      <c r="F1017" s="19"/>
    </row>
    <row r="1018">
      <c r="D1018" s="18"/>
      <c r="E1018" s="19"/>
      <c r="F1018" s="19"/>
    </row>
    <row r="1019">
      <c r="D1019" s="18"/>
      <c r="E1019" s="19"/>
      <c r="F1019" s="19"/>
    </row>
    <row r="1020">
      <c r="D1020" s="18"/>
      <c r="E1020" s="19"/>
      <c r="F1020" s="19"/>
    </row>
    <row r="1021">
      <c r="D1021" s="18"/>
      <c r="E1021" s="19"/>
      <c r="F1021" s="19"/>
    </row>
    <row r="1022">
      <c r="D1022" s="18"/>
      <c r="E1022" s="19"/>
      <c r="F1022" s="19"/>
    </row>
    <row r="1023">
      <c r="D1023" s="18"/>
      <c r="E1023" s="19"/>
      <c r="F1023" s="19"/>
    </row>
    <row r="1024">
      <c r="D1024" s="18"/>
      <c r="E1024" s="19"/>
      <c r="F1024" s="19"/>
    </row>
    <row r="1025">
      <c r="D1025" s="18"/>
      <c r="E1025" s="19"/>
      <c r="F1025" s="1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11.13"/>
    <col customWidth="1" min="3" max="3" width="17.25"/>
    <col customWidth="1" min="4" max="4" width="12.63"/>
    <col customWidth="1" min="5" max="5" width="6.63"/>
    <col customWidth="1" min="6" max="6" width="7.5"/>
    <col customWidth="1" min="7" max="7" width="120.63"/>
  </cols>
  <sheetData>
    <row r="1">
      <c r="A1" s="36">
        <f>SUM(A3:A179)</f>
        <v>773</v>
      </c>
      <c r="B1" s="71" t="s">
        <v>660</v>
      </c>
      <c r="C1" s="36">
        <f>SUM(F3:F100)</f>
        <v>112</v>
      </c>
      <c r="D1" s="4"/>
      <c r="E1" s="4"/>
      <c r="F1" s="4"/>
      <c r="G1" s="90" t="s">
        <v>1</v>
      </c>
      <c r="H1" s="91"/>
      <c r="I1" s="91"/>
      <c r="J1" s="91"/>
      <c r="K1" s="91"/>
      <c r="L1" s="91"/>
      <c r="M1" s="91"/>
      <c r="N1" s="91"/>
      <c r="O1" s="91"/>
      <c r="P1" s="91"/>
      <c r="Q1" s="91"/>
      <c r="R1" s="91"/>
      <c r="S1" s="91"/>
      <c r="T1" s="91"/>
      <c r="U1" s="91"/>
      <c r="V1" s="91"/>
      <c r="W1" s="91"/>
      <c r="X1" s="91"/>
      <c r="Y1" s="91"/>
      <c r="Z1" s="91"/>
    </row>
    <row r="2">
      <c r="A2" s="43" t="s">
        <v>2</v>
      </c>
      <c r="B2" s="45" t="s">
        <v>3</v>
      </c>
      <c r="C2" s="45" t="s">
        <v>4</v>
      </c>
      <c r="D2" s="43" t="s">
        <v>661</v>
      </c>
      <c r="E2" s="45" t="s">
        <v>6</v>
      </c>
      <c r="F2" s="45" t="s">
        <v>234</v>
      </c>
      <c r="G2" s="45" t="s">
        <v>8</v>
      </c>
      <c r="H2" s="91"/>
      <c r="I2" s="91"/>
      <c r="J2" s="91"/>
      <c r="K2" s="91"/>
      <c r="L2" s="91"/>
      <c r="M2" s="91"/>
      <c r="N2" s="91"/>
      <c r="O2" s="91"/>
      <c r="P2" s="91"/>
      <c r="Q2" s="91"/>
      <c r="R2" s="91"/>
      <c r="S2" s="91"/>
      <c r="T2" s="91"/>
      <c r="U2" s="91"/>
      <c r="V2" s="91"/>
      <c r="W2" s="91"/>
      <c r="X2" s="91"/>
      <c r="Y2" s="91"/>
      <c r="Z2" s="91"/>
    </row>
    <row r="3">
      <c r="A3" s="92">
        <f t="shared" ref="A3:A13" si="1">E3*F3</f>
        <v>0</v>
      </c>
      <c r="B3" s="93"/>
      <c r="C3" s="94"/>
      <c r="D3" s="93"/>
      <c r="E3" s="95"/>
      <c r="F3" s="95"/>
      <c r="G3" s="91"/>
      <c r="H3" s="91"/>
      <c r="I3" s="91"/>
      <c r="J3" s="91"/>
      <c r="K3" s="91"/>
      <c r="L3" s="91"/>
      <c r="M3" s="91"/>
      <c r="N3" s="91"/>
      <c r="O3" s="91"/>
      <c r="P3" s="91"/>
      <c r="Q3" s="91"/>
      <c r="R3" s="91"/>
      <c r="S3" s="91"/>
      <c r="T3" s="91"/>
      <c r="U3" s="91"/>
      <c r="V3" s="91"/>
      <c r="W3" s="91"/>
      <c r="X3" s="91"/>
      <c r="Y3" s="91"/>
      <c r="Z3" s="91"/>
    </row>
    <row r="4">
      <c r="A4" s="96">
        <f t="shared" si="1"/>
        <v>5</v>
      </c>
      <c r="B4" s="97" t="s">
        <v>662</v>
      </c>
      <c r="C4" s="98" t="s">
        <v>22</v>
      </c>
      <c r="D4" s="97" t="s">
        <v>663</v>
      </c>
      <c r="E4" s="99">
        <v>5.0</v>
      </c>
      <c r="F4" s="99">
        <v>1.0</v>
      </c>
      <c r="G4" s="100" t="s">
        <v>664</v>
      </c>
      <c r="H4" s="91"/>
      <c r="I4" s="91"/>
      <c r="J4" s="91"/>
      <c r="K4" s="91"/>
      <c r="L4" s="91"/>
      <c r="M4" s="91"/>
      <c r="N4" s="91"/>
      <c r="O4" s="91"/>
      <c r="P4" s="91"/>
      <c r="Q4" s="91"/>
      <c r="R4" s="91"/>
      <c r="S4" s="91"/>
      <c r="T4" s="91"/>
      <c r="U4" s="91"/>
      <c r="V4" s="91"/>
      <c r="W4" s="91"/>
      <c r="X4" s="91"/>
      <c r="Y4" s="91"/>
      <c r="Z4" s="91"/>
    </row>
    <row r="5">
      <c r="A5" s="96">
        <f t="shared" si="1"/>
        <v>2</v>
      </c>
      <c r="B5" s="101">
        <v>43536.0</v>
      </c>
      <c r="C5" s="98" t="s">
        <v>665</v>
      </c>
      <c r="D5" s="97" t="s">
        <v>663</v>
      </c>
      <c r="E5" s="99">
        <v>2.0</v>
      </c>
      <c r="F5" s="99">
        <v>1.0</v>
      </c>
      <c r="G5" s="100" t="s">
        <v>666</v>
      </c>
      <c r="H5" s="91"/>
      <c r="I5" s="91"/>
      <c r="J5" s="91"/>
      <c r="K5" s="91"/>
      <c r="L5" s="91"/>
      <c r="M5" s="91"/>
      <c r="N5" s="91"/>
      <c r="O5" s="91"/>
      <c r="P5" s="91"/>
      <c r="Q5" s="91"/>
      <c r="R5" s="91"/>
      <c r="S5" s="91"/>
      <c r="T5" s="91"/>
      <c r="U5" s="91"/>
      <c r="V5" s="91"/>
      <c r="W5" s="91"/>
      <c r="X5" s="91"/>
      <c r="Y5" s="91"/>
      <c r="Z5" s="91"/>
    </row>
    <row r="6">
      <c r="A6" s="96">
        <f t="shared" si="1"/>
        <v>65</v>
      </c>
      <c r="B6" s="97" t="s">
        <v>667</v>
      </c>
      <c r="C6" s="98" t="s">
        <v>148</v>
      </c>
      <c r="D6" s="97" t="s">
        <v>663</v>
      </c>
      <c r="E6" s="99">
        <v>5.0</v>
      </c>
      <c r="F6" s="99">
        <v>13.0</v>
      </c>
      <c r="G6" s="100" t="s">
        <v>668</v>
      </c>
      <c r="H6" s="91"/>
      <c r="I6" s="91"/>
      <c r="J6" s="91"/>
      <c r="K6" s="91"/>
      <c r="L6" s="91"/>
      <c r="M6" s="91"/>
      <c r="N6" s="91"/>
      <c r="O6" s="91"/>
      <c r="P6" s="91"/>
      <c r="Q6" s="91"/>
      <c r="R6" s="91"/>
      <c r="S6" s="91"/>
      <c r="T6" s="91"/>
      <c r="U6" s="91"/>
      <c r="V6" s="91"/>
      <c r="W6" s="91"/>
      <c r="X6" s="91"/>
      <c r="Y6" s="91"/>
      <c r="Z6" s="91"/>
    </row>
    <row r="7">
      <c r="A7" s="96">
        <f t="shared" si="1"/>
        <v>8</v>
      </c>
      <c r="B7" s="97" t="s">
        <v>669</v>
      </c>
      <c r="C7" s="98" t="s">
        <v>29</v>
      </c>
      <c r="D7" s="97" t="s">
        <v>51</v>
      </c>
      <c r="E7" s="99">
        <v>8.0</v>
      </c>
      <c r="F7" s="99">
        <v>1.0</v>
      </c>
      <c r="G7" s="100" t="s">
        <v>670</v>
      </c>
      <c r="H7" s="91"/>
      <c r="I7" s="91"/>
      <c r="J7" s="91"/>
      <c r="K7" s="91"/>
      <c r="L7" s="91"/>
      <c r="M7" s="91"/>
      <c r="N7" s="91"/>
      <c r="O7" s="91"/>
      <c r="P7" s="91"/>
      <c r="Q7" s="91"/>
      <c r="R7" s="91"/>
      <c r="S7" s="91"/>
      <c r="T7" s="91"/>
      <c r="U7" s="91"/>
      <c r="V7" s="91"/>
      <c r="W7" s="91"/>
      <c r="X7" s="91"/>
      <c r="Y7" s="91"/>
      <c r="Z7" s="91"/>
    </row>
    <row r="8">
      <c r="A8" s="96">
        <f t="shared" si="1"/>
        <v>152</v>
      </c>
      <c r="B8" s="97" t="s">
        <v>671</v>
      </c>
      <c r="C8" s="98" t="s">
        <v>672</v>
      </c>
      <c r="D8" s="97" t="s">
        <v>673</v>
      </c>
      <c r="E8" s="99">
        <v>19.0</v>
      </c>
      <c r="F8" s="99">
        <v>8.0</v>
      </c>
      <c r="G8" s="100" t="s">
        <v>674</v>
      </c>
      <c r="H8" s="91"/>
      <c r="I8" s="91"/>
      <c r="J8" s="91"/>
      <c r="K8" s="91"/>
      <c r="L8" s="91"/>
      <c r="M8" s="91"/>
      <c r="N8" s="91"/>
      <c r="O8" s="91"/>
      <c r="P8" s="91"/>
      <c r="Q8" s="91"/>
      <c r="R8" s="91"/>
      <c r="S8" s="91"/>
      <c r="T8" s="91"/>
      <c r="U8" s="91"/>
      <c r="V8" s="91"/>
      <c r="W8" s="91"/>
      <c r="X8" s="91"/>
      <c r="Y8" s="91"/>
      <c r="Z8" s="91"/>
    </row>
    <row r="9">
      <c r="A9" s="96">
        <f t="shared" si="1"/>
        <v>4</v>
      </c>
      <c r="B9" s="97" t="s">
        <v>671</v>
      </c>
      <c r="C9" s="98" t="s">
        <v>140</v>
      </c>
      <c r="D9" s="97" t="s">
        <v>145</v>
      </c>
      <c r="E9" s="99">
        <v>4.0</v>
      </c>
      <c r="F9" s="99">
        <v>1.0</v>
      </c>
      <c r="G9" s="100" t="s">
        <v>675</v>
      </c>
      <c r="H9" s="91"/>
      <c r="I9" s="91"/>
      <c r="J9" s="91"/>
      <c r="K9" s="91"/>
      <c r="L9" s="91"/>
      <c r="M9" s="91"/>
      <c r="N9" s="91"/>
      <c r="O9" s="91"/>
      <c r="P9" s="91"/>
      <c r="Q9" s="91"/>
      <c r="R9" s="91"/>
      <c r="S9" s="91"/>
      <c r="T9" s="91"/>
      <c r="U9" s="91"/>
      <c r="V9" s="91"/>
      <c r="W9" s="91"/>
      <c r="X9" s="91"/>
      <c r="Y9" s="91"/>
      <c r="Z9" s="91"/>
    </row>
    <row r="10">
      <c r="A10" s="96">
        <f t="shared" si="1"/>
        <v>12</v>
      </c>
      <c r="B10" s="101">
        <v>43655.0</v>
      </c>
      <c r="C10" s="98" t="s">
        <v>676</v>
      </c>
      <c r="D10" s="97" t="s">
        <v>42</v>
      </c>
      <c r="E10" s="99">
        <v>12.0</v>
      </c>
      <c r="F10" s="99">
        <v>1.0</v>
      </c>
      <c r="G10" s="100" t="s">
        <v>677</v>
      </c>
      <c r="H10" s="91"/>
      <c r="I10" s="91"/>
      <c r="J10" s="91"/>
      <c r="K10" s="91"/>
      <c r="L10" s="91"/>
      <c r="M10" s="91"/>
      <c r="N10" s="91"/>
      <c r="O10" s="91"/>
      <c r="P10" s="91"/>
      <c r="Q10" s="91"/>
      <c r="R10" s="91"/>
      <c r="S10" s="91"/>
      <c r="T10" s="91"/>
      <c r="U10" s="91"/>
      <c r="V10" s="91"/>
      <c r="W10" s="91"/>
      <c r="X10" s="91"/>
      <c r="Y10" s="91"/>
      <c r="Z10" s="91"/>
    </row>
    <row r="11">
      <c r="A11" s="96">
        <f t="shared" si="1"/>
        <v>4</v>
      </c>
      <c r="B11" s="101">
        <v>43564.0</v>
      </c>
      <c r="C11" s="98" t="s">
        <v>175</v>
      </c>
      <c r="D11" s="97" t="s">
        <v>23</v>
      </c>
      <c r="E11" s="99">
        <v>4.0</v>
      </c>
      <c r="F11" s="99">
        <v>1.0</v>
      </c>
      <c r="G11" s="100" t="s">
        <v>678</v>
      </c>
      <c r="H11" s="91"/>
      <c r="I11" s="91"/>
      <c r="J11" s="91"/>
      <c r="K11" s="91"/>
      <c r="L11" s="91"/>
      <c r="M11" s="91"/>
      <c r="N11" s="91"/>
      <c r="O11" s="91"/>
      <c r="P11" s="91"/>
      <c r="Q11" s="91"/>
      <c r="R11" s="91"/>
      <c r="S11" s="91"/>
      <c r="T11" s="91"/>
      <c r="U11" s="91"/>
      <c r="V11" s="91"/>
      <c r="W11" s="91"/>
      <c r="X11" s="91"/>
      <c r="Y11" s="91"/>
      <c r="Z11" s="91"/>
    </row>
    <row r="12">
      <c r="A12" s="96">
        <f t="shared" si="1"/>
        <v>2</v>
      </c>
      <c r="B12" s="101">
        <v>43505.0</v>
      </c>
      <c r="C12" s="98" t="s">
        <v>36</v>
      </c>
      <c r="D12" s="97" t="s">
        <v>42</v>
      </c>
      <c r="E12" s="99">
        <v>2.0</v>
      </c>
      <c r="F12" s="99">
        <v>1.0</v>
      </c>
      <c r="G12" s="100" t="s">
        <v>679</v>
      </c>
      <c r="H12" s="91"/>
      <c r="I12" s="91"/>
      <c r="J12" s="91"/>
      <c r="K12" s="91"/>
      <c r="L12" s="91"/>
      <c r="M12" s="91"/>
      <c r="N12" s="91"/>
      <c r="O12" s="91"/>
      <c r="P12" s="91"/>
      <c r="Q12" s="91"/>
      <c r="R12" s="91"/>
      <c r="S12" s="91"/>
      <c r="T12" s="91"/>
      <c r="U12" s="91"/>
      <c r="V12" s="91"/>
      <c r="W12" s="91"/>
      <c r="X12" s="91"/>
      <c r="Y12" s="91"/>
      <c r="Z12" s="91"/>
    </row>
    <row r="13">
      <c r="A13" s="96">
        <f t="shared" si="1"/>
        <v>6</v>
      </c>
      <c r="B13" s="97" t="s">
        <v>680</v>
      </c>
      <c r="C13" s="98" t="s">
        <v>240</v>
      </c>
      <c r="D13" s="97" t="s">
        <v>51</v>
      </c>
      <c r="E13" s="99">
        <v>6.0</v>
      </c>
      <c r="F13" s="99">
        <v>1.0</v>
      </c>
      <c r="G13" s="100" t="s">
        <v>681</v>
      </c>
      <c r="H13" s="91"/>
      <c r="I13" s="91"/>
      <c r="J13" s="91"/>
      <c r="K13" s="91"/>
      <c r="L13" s="91"/>
      <c r="M13" s="91"/>
      <c r="N13" s="91"/>
      <c r="O13" s="91"/>
      <c r="P13" s="91"/>
      <c r="Q13" s="91"/>
      <c r="R13" s="91"/>
      <c r="S13" s="91"/>
      <c r="T13" s="91"/>
      <c r="U13" s="91"/>
      <c r="V13" s="91"/>
      <c r="W13" s="91"/>
      <c r="X13" s="91"/>
      <c r="Y13" s="91"/>
      <c r="Z13" s="91"/>
    </row>
    <row r="14">
      <c r="A14" s="78"/>
      <c r="B14" s="78"/>
      <c r="C14" s="78"/>
      <c r="D14" s="78"/>
      <c r="E14" s="78"/>
      <c r="F14" s="78"/>
      <c r="G14" s="78"/>
      <c r="H14" s="91"/>
      <c r="I14" s="91"/>
      <c r="J14" s="91"/>
      <c r="K14" s="91"/>
      <c r="L14" s="91"/>
      <c r="M14" s="91"/>
      <c r="N14" s="91"/>
      <c r="O14" s="91"/>
      <c r="P14" s="91"/>
      <c r="Q14" s="91"/>
      <c r="R14" s="91"/>
      <c r="S14" s="91"/>
      <c r="T14" s="91"/>
      <c r="U14" s="91"/>
      <c r="V14" s="91"/>
      <c r="W14" s="91"/>
      <c r="X14" s="91"/>
      <c r="Y14" s="91"/>
      <c r="Z14" s="91"/>
    </row>
    <row r="15">
      <c r="A15" s="96">
        <f t="shared" ref="A15:A49" si="2">E15*F15</f>
        <v>4</v>
      </c>
      <c r="B15" s="97" t="s">
        <v>682</v>
      </c>
      <c r="C15" s="98" t="s">
        <v>175</v>
      </c>
      <c r="D15" s="97" t="s">
        <v>23</v>
      </c>
      <c r="E15" s="99">
        <v>4.0</v>
      </c>
      <c r="F15" s="99">
        <v>1.0</v>
      </c>
      <c r="G15" s="100" t="s">
        <v>683</v>
      </c>
      <c r="H15" s="91"/>
      <c r="I15" s="91"/>
      <c r="J15" s="91"/>
      <c r="K15" s="91"/>
      <c r="L15" s="91"/>
      <c r="M15" s="91"/>
      <c r="N15" s="91"/>
      <c r="O15" s="91"/>
      <c r="P15" s="91"/>
      <c r="Q15" s="91"/>
      <c r="R15" s="91"/>
      <c r="S15" s="91"/>
      <c r="T15" s="91"/>
      <c r="U15" s="91"/>
      <c r="V15" s="91"/>
      <c r="W15" s="91"/>
      <c r="X15" s="91"/>
      <c r="Y15" s="91"/>
      <c r="Z15" s="91"/>
    </row>
    <row r="16">
      <c r="A16" s="96">
        <f t="shared" si="2"/>
        <v>6</v>
      </c>
      <c r="B16" s="101"/>
      <c r="C16" s="98" t="s">
        <v>684</v>
      </c>
      <c r="D16" s="97" t="s">
        <v>685</v>
      </c>
      <c r="E16" s="99">
        <v>2.0</v>
      </c>
      <c r="F16" s="99">
        <v>3.0</v>
      </c>
      <c r="G16" s="102" t="s">
        <v>686</v>
      </c>
      <c r="H16" s="91"/>
      <c r="I16" s="91"/>
      <c r="J16" s="91"/>
      <c r="K16" s="91"/>
      <c r="L16" s="91"/>
      <c r="M16" s="91"/>
      <c r="N16" s="91"/>
      <c r="O16" s="91"/>
      <c r="P16" s="91"/>
      <c r="Q16" s="91"/>
      <c r="R16" s="91"/>
      <c r="S16" s="91"/>
      <c r="T16" s="91"/>
      <c r="U16" s="91"/>
      <c r="V16" s="91"/>
      <c r="W16" s="91"/>
      <c r="X16" s="91"/>
      <c r="Y16" s="91"/>
      <c r="Z16" s="91"/>
    </row>
    <row r="17">
      <c r="A17" s="96">
        <f t="shared" si="2"/>
        <v>5</v>
      </c>
      <c r="B17" s="97" t="s">
        <v>687</v>
      </c>
      <c r="C17" s="98" t="s">
        <v>175</v>
      </c>
      <c r="D17" s="97" t="s">
        <v>23</v>
      </c>
      <c r="E17" s="99">
        <v>5.0</v>
      </c>
      <c r="F17" s="99">
        <v>1.0</v>
      </c>
      <c r="G17" s="102" t="s">
        <v>688</v>
      </c>
      <c r="H17" s="91"/>
      <c r="I17" s="91"/>
      <c r="J17" s="91"/>
      <c r="K17" s="91"/>
      <c r="L17" s="91"/>
      <c r="M17" s="91"/>
      <c r="N17" s="91"/>
      <c r="O17" s="91"/>
      <c r="P17" s="91"/>
      <c r="Q17" s="91"/>
      <c r="R17" s="91"/>
      <c r="S17" s="91"/>
      <c r="T17" s="91"/>
      <c r="U17" s="91"/>
      <c r="V17" s="91"/>
      <c r="W17" s="91"/>
      <c r="X17" s="91"/>
      <c r="Y17" s="91"/>
      <c r="Z17" s="91"/>
    </row>
    <row r="18">
      <c r="A18" s="96">
        <f t="shared" si="2"/>
        <v>2</v>
      </c>
      <c r="B18" s="97" t="s">
        <v>689</v>
      </c>
      <c r="C18" s="98" t="s">
        <v>243</v>
      </c>
      <c r="D18" s="97" t="s">
        <v>254</v>
      </c>
      <c r="E18" s="99">
        <v>2.0</v>
      </c>
      <c r="F18" s="99">
        <v>1.0</v>
      </c>
      <c r="G18" s="100" t="s">
        <v>690</v>
      </c>
      <c r="H18" s="91"/>
      <c r="I18" s="91"/>
      <c r="J18" s="91"/>
      <c r="K18" s="91"/>
      <c r="L18" s="91"/>
      <c r="M18" s="91"/>
      <c r="N18" s="91"/>
      <c r="O18" s="91"/>
      <c r="P18" s="91"/>
      <c r="Q18" s="91"/>
      <c r="R18" s="91"/>
      <c r="S18" s="91"/>
      <c r="T18" s="91"/>
      <c r="U18" s="91"/>
      <c r="V18" s="91"/>
      <c r="W18" s="91"/>
      <c r="X18" s="91"/>
      <c r="Y18" s="91"/>
      <c r="Z18" s="91"/>
    </row>
    <row r="19">
      <c r="A19" s="96">
        <f t="shared" si="2"/>
        <v>7</v>
      </c>
      <c r="B19" s="97" t="s">
        <v>691</v>
      </c>
      <c r="C19" s="98" t="s">
        <v>692</v>
      </c>
      <c r="D19" s="97" t="s">
        <v>18</v>
      </c>
      <c r="E19" s="99">
        <v>7.0</v>
      </c>
      <c r="F19" s="99">
        <v>1.0</v>
      </c>
      <c r="G19" s="100" t="s">
        <v>693</v>
      </c>
      <c r="H19" s="91"/>
      <c r="I19" s="91"/>
      <c r="J19" s="91"/>
      <c r="K19" s="91"/>
      <c r="L19" s="91"/>
      <c r="M19" s="91"/>
      <c r="N19" s="91"/>
      <c r="O19" s="91"/>
      <c r="P19" s="91"/>
      <c r="Q19" s="91"/>
      <c r="R19" s="91"/>
      <c r="S19" s="91"/>
      <c r="T19" s="91"/>
      <c r="U19" s="91"/>
      <c r="V19" s="91"/>
      <c r="W19" s="91"/>
      <c r="X19" s="91"/>
      <c r="Y19" s="91"/>
      <c r="Z19" s="91"/>
    </row>
    <row r="20">
      <c r="A20" s="96">
        <f t="shared" si="2"/>
        <v>4</v>
      </c>
      <c r="B20" s="97" t="s">
        <v>691</v>
      </c>
      <c r="C20" s="98" t="s">
        <v>291</v>
      </c>
      <c r="D20" s="97" t="s">
        <v>694</v>
      </c>
      <c r="E20" s="99">
        <v>4.0</v>
      </c>
      <c r="F20" s="99">
        <v>1.0</v>
      </c>
      <c r="G20" s="100" t="s">
        <v>695</v>
      </c>
      <c r="H20" s="91"/>
      <c r="I20" s="91"/>
      <c r="J20" s="91"/>
      <c r="K20" s="91"/>
      <c r="L20" s="91"/>
      <c r="M20" s="91"/>
      <c r="N20" s="91"/>
      <c r="O20" s="91"/>
      <c r="P20" s="91"/>
      <c r="Q20" s="91"/>
      <c r="R20" s="91"/>
      <c r="S20" s="91"/>
      <c r="T20" s="91"/>
      <c r="U20" s="91"/>
      <c r="V20" s="91"/>
      <c r="W20" s="91"/>
      <c r="X20" s="91"/>
      <c r="Y20" s="91"/>
      <c r="Z20" s="91"/>
    </row>
    <row r="21">
      <c r="A21" s="96">
        <f t="shared" si="2"/>
        <v>2</v>
      </c>
      <c r="B21" s="101">
        <v>43653.0</v>
      </c>
      <c r="C21" s="98" t="s">
        <v>104</v>
      </c>
      <c r="D21" s="97" t="s">
        <v>696</v>
      </c>
      <c r="E21" s="99">
        <v>2.0</v>
      </c>
      <c r="F21" s="99">
        <v>1.0</v>
      </c>
      <c r="G21" s="100" t="s">
        <v>697</v>
      </c>
      <c r="H21" s="91"/>
      <c r="I21" s="91"/>
      <c r="J21" s="91"/>
      <c r="K21" s="91"/>
      <c r="L21" s="91"/>
      <c r="M21" s="91"/>
      <c r="N21" s="91"/>
      <c r="O21" s="91"/>
      <c r="P21" s="91"/>
      <c r="Q21" s="91"/>
      <c r="R21" s="91"/>
      <c r="S21" s="91"/>
      <c r="T21" s="91"/>
      <c r="U21" s="91"/>
      <c r="V21" s="91"/>
      <c r="W21" s="91"/>
      <c r="X21" s="91"/>
      <c r="Y21" s="91"/>
      <c r="Z21" s="91"/>
    </row>
    <row r="22">
      <c r="A22" s="96">
        <f t="shared" si="2"/>
        <v>4</v>
      </c>
      <c r="B22" s="101">
        <v>43653.0</v>
      </c>
      <c r="C22" s="98" t="s">
        <v>595</v>
      </c>
      <c r="D22" s="97" t="s">
        <v>696</v>
      </c>
      <c r="E22" s="99">
        <v>4.0</v>
      </c>
      <c r="F22" s="99">
        <v>1.0</v>
      </c>
      <c r="G22" s="100" t="s">
        <v>698</v>
      </c>
      <c r="H22" s="91"/>
      <c r="I22" s="91"/>
      <c r="J22" s="91"/>
      <c r="K22" s="91"/>
      <c r="L22" s="91"/>
      <c r="M22" s="91"/>
      <c r="N22" s="91"/>
      <c r="O22" s="91"/>
      <c r="P22" s="91"/>
      <c r="Q22" s="91"/>
      <c r="R22" s="91"/>
      <c r="S22" s="91"/>
      <c r="T22" s="91"/>
      <c r="U22" s="91"/>
      <c r="V22" s="91"/>
      <c r="W22" s="91"/>
      <c r="X22" s="91"/>
      <c r="Y22" s="91"/>
      <c r="Z22" s="91"/>
    </row>
    <row r="23">
      <c r="A23" s="96">
        <f t="shared" si="2"/>
        <v>2</v>
      </c>
      <c r="B23" s="101">
        <v>43503.0</v>
      </c>
      <c r="C23" s="98" t="s">
        <v>699</v>
      </c>
      <c r="D23" s="97" t="s">
        <v>700</v>
      </c>
      <c r="E23" s="99">
        <v>2.0</v>
      </c>
      <c r="F23" s="99">
        <v>1.0</v>
      </c>
      <c r="G23" s="100" t="s">
        <v>701</v>
      </c>
      <c r="H23" s="91"/>
      <c r="I23" s="91"/>
      <c r="J23" s="91"/>
      <c r="K23" s="91"/>
      <c r="L23" s="91"/>
      <c r="M23" s="91"/>
      <c r="N23" s="91"/>
      <c r="O23" s="91"/>
      <c r="P23" s="91"/>
      <c r="Q23" s="91"/>
      <c r="R23" s="91"/>
      <c r="S23" s="91"/>
      <c r="T23" s="91"/>
      <c r="U23" s="91"/>
      <c r="V23" s="91"/>
      <c r="W23" s="91"/>
      <c r="X23" s="91"/>
      <c r="Y23" s="91"/>
      <c r="Z23" s="91"/>
    </row>
    <row r="24">
      <c r="A24" s="96">
        <f t="shared" si="2"/>
        <v>5</v>
      </c>
      <c r="B24" s="101">
        <v>43472.0</v>
      </c>
      <c r="C24" s="98" t="s">
        <v>36</v>
      </c>
      <c r="D24" s="97" t="s">
        <v>51</v>
      </c>
      <c r="E24" s="99">
        <v>5.0</v>
      </c>
      <c r="F24" s="99">
        <v>1.0</v>
      </c>
      <c r="G24" s="100" t="s">
        <v>702</v>
      </c>
      <c r="H24" s="91"/>
      <c r="I24" s="91"/>
      <c r="J24" s="91"/>
      <c r="K24" s="91"/>
      <c r="L24" s="91"/>
      <c r="M24" s="91"/>
      <c r="N24" s="91"/>
      <c r="O24" s="91"/>
      <c r="P24" s="91"/>
      <c r="Q24" s="91"/>
      <c r="R24" s="91"/>
      <c r="S24" s="91"/>
      <c r="T24" s="91"/>
      <c r="U24" s="91"/>
      <c r="V24" s="91"/>
      <c r="W24" s="91"/>
      <c r="X24" s="91"/>
      <c r="Y24" s="91"/>
      <c r="Z24" s="91"/>
    </row>
    <row r="25">
      <c r="A25" s="96">
        <f t="shared" si="2"/>
        <v>56</v>
      </c>
      <c r="B25" s="97" t="s">
        <v>703</v>
      </c>
      <c r="C25" s="98" t="s">
        <v>612</v>
      </c>
      <c r="D25" s="97" t="s">
        <v>551</v>
      </c>
      <c r="E25" s="99">
        <v>7.0</v>
      </c>
      <c r="F25" s="99">
        <v>8.0</v>
      </c>
      <c r="G25" s="100" t="s">
        <v>704</v>
      </c>
      <c r="H25" s="91"/>
      <c r="I25" s="91"/>
      <c r="J25" s="91"/>
      <c r="K25" s="91"/>
      <c r="L25" s="91"/>
      <c r="M25" s="91"/>
      <c r="N25" s="91"/>
      <c r="O25" s="91"/>
      <c r="P25" s="91"/>
      <c r="Q25" s="91"/>
      <c r="R25" s="91"/>
      <c r="S25" s="91"/>
      <c r="T25" s="91"/>
      <c r="U25" s="91"/>
      <c r="V25" s="91"/>
      <c r="W25" s="91"/>
      <c r="X25" s="91"/>
      <c r="Y25" s="91"/>
      <c r="Z25" s="91"/>
    </row>
    <row r="26">
      <c r="A26" s="96">
        <f t="shared" si="2"/>
        <v>2</v>
      </c>
      <c r="B26" s="97" t="s">
        <v>705</v>
      </c>
      <c r="C26" s="98" t="s">
        <v>706</v>
      </c>
      <c r="D26" s="97" t="s">
        <v>23</v>
      </c>
      <c r="E26" s="99">
        <v>2.0</v>
      </c>
      <c r="F26" s="99">
        <v>1.0</v>
      </c>
      <c r="G26" s="100" t="s">
        <v>707</v>
      </c>
      <c r="H26" s="91"/>
      <c r="I26" s="91"/>
      <c r="J26" s="91"/>
      <c r="K26" s="91"/>
      <c r="L26" s="91"/>
      <c r="M26" s="91"/>
      <c r="N26" s="91"/>
      <c r="O26" s="91"/>
      <c r="P26" s="91"/>
      <c r="Q26" s="91"/>
      <c r="R26" s="91"/>
      <c r="S26" s="91"/>
      <c r="T26" s="91"/>
      <c r="U26" s="91"/>
      <c r="V26" s="91"/>
      <c r="W26" s="91"/>
      <c r="X26" s="91"/>
      <c r="Y26" s="91"/>
      <c r="Z26" s="91"/>
    </row>
    <row r="27">
      <c r="A27" s="96">
        <f t="shared" si="2"/>
        <v>6</v>
      </c>
      <c r="B27" s="97" t="s">
        <v>708</v>
      </c>
      <c r="C27" s="98" t="s">
        <v>243</v>
      </c>
      <c r="D27" s="97" t="s">
        <v>51</v>
      </c>
      <c r="E27" s="99">
        <v>6.0</v>
      </c>
      <c r="F27" s="99">
        <v>1.0</v>
      </c>
      <c r="G27" s="100" t="s">
        <v>709</v>
      </c>
      <c r="H27" s="91"/>
      <c r="I27" s="91"/>
      <c r="J27" s="91"/>
      <c r="K27" s="91"/>
      <c r="L27" s="91"/>
      <c r="M27" s="91"/>
      <c r="N27" s="91"/>
      <c r="O27" s="91"/>
      <c r="P27" s="91"/>
      <c r="Q27" s="91"/>
      <c r="R27" s="91"/>
      <c r="S27" s="91"/>
      <c r="T27" s="91"/>
      <c r="U27" s="91"/>
      <c r="V27" s="91"/>
      <c r="W27" s="91"/>
      <c r="X27" s="91"/>
      <c r="Y27" s="91"/>
      <c r="Z27" s="91"/>
    </row>
    <row r="28">
      <c r="A28" s="96">
        <f t="shared" si="2"/>
        <v>3</v>
      </c>
      <c r="B28" s="97" t="s">
        <v>710</v>
      </c>
      <c r="C28" s="98" t="s">
        <v>107</v>
      </c>
      <c r="D28" s="97" t="s">
        <v>711</v>
      </c>
      <c r="E28" s="99">
        <v>3.0</v>
      </c>
      <c r="F28" s="99">
        <v>1.0</v>
      </c>
      <c r="G28" s="100" t="s">
        <v>712</v>
      </c>
      <c r="H28" s="91"/>
      <c r="I28" s="91"/>
      <c r="J28" s="91"/>
      <c r="K28" s="91"/>
      <c r="L28" s="91"/>
      <c r="M28" s="91"/>
      <c r="N28" s="91"/>
      <c r="O28" s="91"/>
      <c r="P28" s="91"/>
      <c r="Q28" s="91"/>
      <c r="R28" s="91"/>
      <c r="S28" s="91"/>
      <c r="T28" s="91"/>
      <c r="U28" s="91"/>
      <c r="V28" s="91"/>
      <c r="W28" s="91"/>
      <c r="X28" s="91"/>
      <c r="Y28" s="91"/>
      <c r="Z28" s="91"/>
    </row>
    <row r="29">
      <c r="A29" s="96">
        <f t="shared" si="2"/>
        <v>2</v>
      </c>
      <c r="B29" s="97" t="s">
        <v>713</v>
      </c>
      <c r="C29" s="98" t="s">
        <v>714</v>
      </c>
      <c r="D29" s="97" t="s">
        <v>711</v>
      </c>
      <c r="E29" s="99">
        <v>2.0</v>
      </c>
      <c r="F29" s="99">
        <v>1.0</v>
      </c>
      <c r="G29" s="100" t="s">
        <v>715</v>
      </c>
      <c r="H29" s="91"/>
      <c r="I29" s="91"/>
      <c r="J29" s="91"/>
      <c r="K29" s="91"/>
      <c r="L29" s="91"/>
      <c r="M29" s="91"/>
      <c r="N29" s="91"/>
      <c r="O29" s="91"/>
      <c r="P29" s="91"/>
      <c r="Q29" s="91"/>
      <c r="R29" s="91"/>
      <c r="S29" s="91"/>
      <c r="T29" s="91"/>
      <c r="U29" s="91"/>
      <c r="V29" s="91"/>
      <c r="W29" s="91"/>
      <c r="X29" s="91"/>
      <c r="Y29" s="91"/>
      <c r="Z29" s="91"/>
    </row>
    <row r="30">
      <c r="A30" s="96">
        <f t="shared" si="2"/>
        <v>2</v>
      </c>
      <c r="B30" s="97" t="s">
        <v>716</v>
      </c>
      <c r="C30" s="98" t="s">
        <v>717</v>
      </c>
      <c r="D30" s="97" t="s">
        <v>254</v>
      </c>
      <c r="E30" s="99">
        <v>2.0</v>
      </c>
      <c r="F30" s="99">
        <v>1.0</v>
      </c>
      <c r="G30" s="100" t="s">
        <v>718</v>
      </c>
      <c r="H30" s="91"/>
      <c r="I30" s="91"/>
      <c r="J30" s="91"/>
      <c r="K30" s="91"/>
      <c r="L30" s="91"/>
      <c r="M30" s="91"/>
      <c r="N30" s="91"/>
      <c r="O30" s="91"/>
      <c r="P30" s="91"/>
      <c r="Q30" s="91"/>
      <c r="R30" s="91"/>
      <c r="S30" s="91"/>
      <c r="T30" s="91"/>
      <c r="U30" s="91"/>
      <c r="V30" s="91"/>
      <c r="W30" s="91"/>
      <c r="X30" s="91"/>
      <c r="Y30" s="91"/>
      <c r="Z30" s="91"/>
    </row>
    <row r="31">
      <c r="A31" s="96">
        <f t="shared" si="2"/>
        <v>3</v>
      </c>
      <c r="B31" s="97" t="s">
        <v>716</v>
      </c>
      <c r="C31" s="98" t="s">
        <v>719</v>
      </c>
      <c r="D31" s="97" t="s">
        <v>254</v>
      </c>
      <c r="E31" s="99">
        <v>3.0</v>
      </c>
      <c r="F31" s="99">
        <v>1.0</v>
      </c>
      <c r="G31" s="100" t="s">
        <v>720</v>
      </c>
      <c r="H31" s="91"/>
      <c r="I31" s="91"/>
      <c r="J31" s="91"/>
      <c r="K31" s="91"/>
      <c r="L31" s="91"/>
      <c r="M31" s="91"/>
      <c r="N31" s="91"/>
      <c r="O31" s="91"/>
      <c r="P31" s="91"/>
      <c r="Q31" s="91"/>
      <c r="R31" s="91"/>
      <c r="S31" s="91"/>
      <c r="T31" s="91"/>
      <c r="U31" s="91"/>
      <c r="V31" s="91"/>
      <c r="W31" s="91"/>
      <c r="X31" s="91"/>
      <c r="Y31" s="91"/>
      <c r="Z31" s="91"/>
    </row>
    <row r="32">
      <c r="A32" s="96">
        <f t="shared" si="2"/>
        <v>6</v>
      </c>
      <c r="B32" s="101">
        <v>43805.0</v>
      </c>
      <c r="C32" s="98" t="s">
        <v>606</v>
      </c>
      <c r="D32" s="97" t="s">
        <v>247</v>
      </c>
      <c r="E32" s="99">
        <v>3.0</v>
      </c>
      <c r="F32" s="99">
        <v>2.0</v>
      </c>
      <c r="G32" s="100" t="s">
        <v>721</v>
      </c>
      <c r="H32" s="91"/>
      <c r="I32" s="91"/>
      <c r="J32" s="91"/>
      <c r="K32" s="91"/>
      <c r="L32" s="91"/>
      <c r="M32" s="91"/>
      <c r="N32" s="91"/>
      <c r="O32" s="91"/>
      <c r="P32" s="91"/>
      <c r="Q32" s="91"/>
      <c r="R32" s="91"/>
      <c r="S32" s="91"/>
      <c r="T32" s="91"/>
      <c r="U32" s="91"/>
      <c r="V32" s="91"/>
      <c r="W32" s="91"/>
      <c r="X32" s="91"/>
      <c r="Y32" s="91"/>
      <c r="Z32" s="91"/>
    </row>
    <row r="33">
      <c r="A33" s="96">
        <f t="shared" si="2"/>
        <v>4</v>
      </c>
      <c r="B33" s="97" t="s">
        <v>722</v>
      </c>
      <c r="C33" s="98" t="s">
        <v>120</v>
      </c>
      <c r="D33" s="97" t="s">
        <v>566</v>
      </c>
      <c r="E33" s="99">
        <v>4.0</v>
      </c>
      <c r="F33" s="99">
        <v>1.0</v>
      </c>
      <c r="G33" s="100" t="s">
        <v>723</v>
      </c>
      <c r="H33" s="91"/>
      <c r="I33" s="91"/>
      <c r="J33" s="91"/>
      <c r="K33" s="91"/>
      <c r="L33" s="91"/>
      <c r="M33" s="91"/>
      <c r="N33" s="91"/>
      <c r="O33" s="91"/>
      <c r="P33" s="91"/>
      <c r="Q33" s="91"/>
      <c r="R33" s="91"/>
      <c r="S33" s="91"/>
      <c r="T33" s="91"/>
      <c r="U33" s="91"/>
      <c r="V33" s="91"/>
      <c r="W33" s="91"/>
      <c r="X33" s="91"/>
      <c r="Y33" s="91"/>
      <c r="Z33" s="91"/>
    </row>
    <row r="34">
      <c r="A34" s="96">
        <f t="shared" si="2"/>
        <v>4</v>
      </c>
      <c r="B34" s="97" t="s">
        <v>724</v>
      </c>
      <c r="C34" s="98" t="s">
        <v>36</v>
      </c>
      <c r="D34" s="97" t="s">
        <v>78</v>
      </c>
      <c r="E34" s="99">
        <v>4.0</v>
      </c>
      <c r="F34" s="99">
        <v>1.0</v>
      </c>
      <c r="G34" s="100" t="s">
        <v>725</v>
      </c>
      <c r="H34" s="91"/>
      <c r="I34" s="91"/>
      <c r="J34" s="91"/>
      <c r="K34" s="91"/>
      <c r="L34" s="91"/>
      <c r="M34" s="91"/>
      <c r="N34" s="91"/>
      <c r="O34" s="91"/>
      <c r="P34" s="91"/>
      <c r="Q34" s="91"/>
      <c r="R34" s="91"/>
      <c r="S34" s="91"/>
      <c r="T34" s="91"/>
      <c r="U34" s="91"/>
      <c r="V34" s="91"/>
      <c r="W34" s="91"/>
      <c r="X34" s="91"/>
      <c r="Y34" s="91"/>
      <c r="Z34" s="91"/>
    </row>
    <row r="35">
      <c r="A35" s="96">
        <f t="shared" si="2"/>
        <v>2</v>
      </c>
      <c r="B35" s="97" t="s">
        <v>726</v>
      </c>
      <c r="C35" s="98" t="s">
        <v>727</v>
      </c>
      <c r="D35" s="97" t="s">
        <v>78</v>
      </c>
      <c r="E35" s="99">
        <v>2.0</v>
      </c>
      <c r="F35" s="99">
        <v>1.0</v>
      </c>
      <c r="G35" s="103" t="s">
        <v>728</v>
      </c>
      <c r="H35" s="91"/>
      <c r="I35" s="91"/>
      <c r="J35" s="91"/>
      <c r="K35" s="91"/>
      <c r="L35" s="91"/>
      <c r="M35" s="91"/>
      <c r="N35" s="91"/>
      <c r="O35" s="91"/>
      <c r="P35" s="91"/>
      <c r="Q35" s="91"/>
      <c r="R35" s="91"/>
      <c r="S35" s="91"/>
      <c r="T35" s="91"/>
      <c r="U35" s="91"/>
      <c r="V35" s="91"/>
      <c r="W35" s="91"/>
      <c r="X35" s="91"/>
      <c r="Y35" s="91"/>
      <c r="Z35" s="91"/>
    </row>
    <row r="36">
      <c r="A36" s="96">
        <f t="shared" si="2"/>
        <v>8</v>
      </c>
      <c r="B36" s="101">
        <v>43804.0</v>
      </c>
      <c r="C36" s="98" t="s">
        <v>243</v>
      </c>
      <c r="D36" s="97" t="s">
        <v>694</v>
      </c>
      <c r="E36" s="99">
        <v>8.0</v>
      </c>
      <c r="F36" s="99">
        <v>1.0</v>
      </c>
      <c r="G36" s="100" t="s">
        <v>729</v>
      </c>
      <c r="H36" s="91"/>
      <c r="I36" s="91"/>
      <c r="J36" s="91"/>
      <c r="K36" s="91"/>
      <c r="L36" s="91"/>
      <c r="M36" s="91"/>
      <c r="N36" s="91"/>
      <c r="O36" s="91"/>
      <c r="P36" s="91"/>
      <c r="Q36" s="91"/>
      <c r="R36" s="91"/>
      <c r="S36" s="91"/>
      <c r="T36" s="91"/>
      <c r="U36" s="91"/>
      <c r="V36" s="91"/>
      <c r="W36" s="91"/>
      <c r="X36" s="91"/>
      <c r="Y36" s="91"/>
      <c r="Z36" s="91"/>
    </row>
    <row r="37">
      <c r="A37" s="96">
        <f t="shared" si="2"/>
        <v>3</v>
      </c>
      <c r="B37" s="104">
        <v>43804.0</v>
      </c>
      <c r="C37" s="98" t="s">
        <v>699</v>
      </c>
      <c r="D37" s="97" t="s">
        <v>694</v>
      </c>
      <c r="E37" s="99">
        <v>3.0</v>
      </c>
      <c r="F37" s="99">
        <v>1.0</v>
      </c>
      <c r="G37" s="100" t="s">
        <v>730</v>
      </c>
      <c r="H37" s="91"/>
      <c r="I37" s="91"/>
      <c r="J37" s="91"/>
      <c r="K37" s="91"/>
      <c r="L37" s="91"/>
      <c r="M37" s="91"/>
      <c r="N37" s="91"/>
      <c r="O37" s="91"/>
      <c r="P37" s="91"/>
      <c r="Q37" s="91"/>
      <c r="R37" s="91"/>
      <c r="S37" s="91"/>
      <c r="T37" s="91"/>
      <c r="U37" s="91"/>
      <c r="V37" s="91"/>
      <c r="W37" s="91"/>
      <c r="X37" s="91"/>
      <c r="Y37" s="91"/>
      <c r="Z37" s="91"/>
    </row>
    <row r="38">
      <c r="A38" s="96">
        <f t="shared" si="2"/>
        <v>99</v>
      </c>
      <c r="B38" s="97" t="s">
        <v>731</v>
      </c>
      <c r="C38" s="98" t="s">
        <v>732</v>
      </c>
      <c r="D38" s="97" t="s">
        <v>254</v>
      </c>
      <c r="E38" s="99">
        <v>11.0</v>
      </c>
      <c r="F38" s="99">
        <v>9.0</v>
      </c>
      <c r="G38" s="105" t="s">
        <v>733</v>
      </c>
      <c r="H38" s="91"/>
      <c r="I38" s="91"/>
      <c r="J38" s="91"/>
      <c r="K38" s="91"/>
      <c r="L38" s="91"/>
      <c r="M38" s="91"/>
      <c r="N38" s="91"/>
      <c r="O38" s="91"/>
      <c r="P38" s="91"/>
      <c r="Q38" s="91"/>
      <c r="R38" s="91"/>
      <c r="S38" s="91"/>
      <c r="T38" s="91"/>
      <c r="U38" s="91"/>
      <c r="V38" s="91"/>
      <c r="W38" s="91"/>
      <c r="X38" s="91"/>
      <c r="Y38" s="91"/>
      <c r="Z38" s="91"/>
    </row>
    <row r="39">
      <c r="A39" s="96">
        <f t="shared" si="2"/>
        <v>15</v>
      </c>
      <c r="B39" s="97" t="s">
        <v>734</v>
      </c>
      <c r="C39" s="98" t="s">
        <v>735</v>
      </c>
      <c r="D39" s="97" t="s">
        <v>78</v>
      </c>
      <c r="E39" s="99">
        <v>5.0</v>
      </c>
      <c r="F39" s="99">
        <v>3.0</v>
      </c>
      <c r="G39" s="100" t="s">
        <v>736</v>
      </c>
      <c r="H39" s="91"/>
      <c r="I39" s="91"/>
      <c r="J39" s="91"/>
      <c r="K39" s="91"/>
      <c r="L39" s="91"/>
      <c r="M39" s="91"/>
      <c r="N39" s="91"/>
      <c r="O39" s="91"/>
      <c r="P39" s="91"/>
      <c r="Q39" s="91"/>
      <c r="R39" s="91"/>
      <c r="S39" s="91"/>
      <c r="T39" s="91"/>
      <c r="U39" s="91"/>
      <c r="V39" s="91"/>
      <c r="W39" s="91"/>
      <c r="X39" s="91"/>
      <c r="Y39" s="91"/>
      <c r="Z39" s="91"/>
    </row>
    <row r="40">
      <c r="A40" s="96">
        <f t="shared" si="2"/>
        <v>3</v>
      </c>
      <c r="B40" s="106">
        <v>43470.0</v>
      </c>
      <c r="C40" s="98" t="s">
        <v>737</v>
      </c>
      <c r="D40" s="97" t="s">
        <v>673</v>
      </c>
      <c r="E40" s="99">
        <v>3.0</v>
      </c>
      <c r="F40" s="99">
        <v>1.0</v>
      </c>
      <c r="G40" s="100" t="s">
        <v>738</v>
      </c>
      <c r="H40" s="91"/>
      <c r="I40" s="91"/>
      <c r="J40" s="91"/>
      <c r="K40" s="91"/>
      <c r="L40" s="91"/>
      <c r="M40" s="91"/>
      <c r="N40" s="91"/>
      <c r="O40" s="91"/>
      <c r="P40" s="91"/>
      <c r="Q40" s="91"/>
      <c r="R40" s="91"/>
      <c r="S40" s="91"/>
      <c r="T40" s="91"/>
      <c r="U40" s="91"/>
      <c r="V40" s="91"/>
      <c r="W40" s="91"/>
      <c r="X40" s="91"/>
      <c r="Y40" s="91"/>
      <c r="Z40" s="91"/>
    </row>
    <row r="41">
      <c r="A41" s="96">
        <f t="shared" si="2"/>
        <v>3</v>
      </c>
      <c r="B41" s="97" t="s">
        <v>739</v>
      </c>
      <c r="C41" s="98" t="s">
        <v>740</v>
      </c>
      <c r="D41" s="97" t="s">
        <v>673</v>
      </c>
      <c r="E41" s="99">
        <v>3.0</v>
      </c>
      <c r="F41" s="99">
        <v>1.0</v>
      </c>
      <c r="G41" s="100" t="s">
        <v>741</v>
      </c>
      <c r="H41" s="91"/>
      <c r="I41" s="91"/>
      <c r="J41" s="91"/>
      <c r="K41" s="91"/>
      <c r="L41" s="91"/>
      <c r="M41" s="91"/>
      <c r="N41" s="91"/>
      <c r="O41" s="91"/>
      <c r="P41" s="91"/>
      <c r="Q41" s="91"/>
      <c r="R41" s="91"/>
      <c r="S41" s="91"/>
      <c r="T41" s="91"/>
      <c r="U41" s="91"/>
      <c r="V41" s="91"/>
      <c r="W41" s="91"/>
      <c r="X41" s="91"/>
      <c r="Y41" s="91"/>
      <c r="Z41" s="91"/>
    </row>
    <row r="42">
      <c r="A42" s="96">
        <f t="shared" si="2"/>
        <v>5</v>
      </c>
      <c r="B42" s="97" t="s">
        <v>742</v>
      </c>
      <c r="C42" s="98" t="s">
        <v>743</v>
      </c>
      <c r="D42" s="97" t="s">
        <v>247</v>
      </c>
      <c r="E42" s="99">
        <v>5.0</v>
      </c>
      <c r="F42" s="99">
        <v>1.0</v>
      </c>
      <c r="G42" s="100" t="s">
        <v>744</v>
      </c>
      <c r="H42" s="91"/>
      <c r="I42" s="91"/>
      <c r="J42" s="91"/>
      <c r="K42" s="91"/>
      <c r="L42" s="91"/>
      <c r="M42" s="91"/>
      <c r="N42" s="91"/>
      <c r="O42" s="91"/>
      <c r="P42" s="91"/>
      <c r="Q42" s="91"/>
      <c r="R42" s="91"/>
      <c r="S42" s="91"/>
      <c r="T42" s="91"/>
      <c r="U42" s="91"/>
      <c r="V42" s="91"/>
      <c r="W42" s="91"/>
      <c r="X42" s="91"/>
      <c r="Y42" s="91"/>
      <c r="Z42" s="91"/>
    </row>
    <row r="43">
      <c r="A43" s="107">
        <f t="shared" si="2"/>
        <v>7</v>
      </c>
      <c r="B43" s="108" t="s">
        <v>745</v>
      </c>
      <c r="C43" s="109" t="s">
        <v>72</v>
      </c>
      <c r="D43" s="99" t="s">
        <v>694</v>
      </c>
      <c r="E43" s="99">
        <v>7.0</v>
      </c>
      <c r="F43" s="108">
        <v>1.0</v>
      </c>
      <c r="G43" s="105" t="s">
        <v>746</v>
      </c>
      <c r="H43" s="110"/>
      <c r="I43" s="110"/>
      <c r="J43" s="110"/>
      <c r="K43" s="110"/>
      <c r="L43" s="110"/>
      <c r="M43" s="110"/>
      <c r="N43" s="110"/>
      <c r="O43" s="110"/>
      <c r="P43" s="110"/>
      <c r="Q43" s="110"/>
      <c r="R43" s="110"/>
      <c r="S43" s="110"/>
      <c r="T43" s="110"/>
      <c r="U43" s="110"/>
      <c r="V43" s="110"/>
      <c r="W43" s="110"/>
      <c r="X43" s="110"/>
      <c r="Y43" s="110"/>
      <c r="Z43" s="110"/>
    </row>
    <row r="44">
      <c r="A44" s="107">
        <f t="shared" si="2"/>
        <v>12</v>
      </c>
      <c r="B44" s="99" t="s">
        <v>747</v>
      </c>
      <c r="C44" s="108" t="s">
        <v>748</v>
      </c>
      <c r="D44" s="99" t="s">
        <v>247</v>
      </c>
      <c r="E44" s="99">
        <v>4.0</v>
      </c>
      <c r="F44" s="108">
        <v>3.0</v>
      </c>
      <c r="G44" s="111" t="s">
        <v>749</v>
      </c>
      <c r="H44" s="91"/>
      <c r="I44" s="91"/>
      <c r="J44" s="91"/>
      <c r="K44" s="91"/>
      <c r="L44" s="91"/>
      <c r="M44" s="91"/>
      <c r="N44" s="91"/>
      <c r="O44" s="91"/>
      <c r="P44" s="91"/>
      <c r="Q44" s="91"/>
      <c r="R44" s="91"/>
      <c r="S44" s="91"/>
      <c r="T44" s="91"/>
      <c r="U44" s="91"/>
      <c r="V44" s="91"/>
      <c r="W44" s="91"/>
      <c r="X44" s="91"/>
      <c r="Y44" s="91"/>
      <c r="Z44" s="91"/>
    </row>
    <row r="45">
      <c r="A45" s="107">
        <f t="shared" si="2"/>
        <v>3</v>
      </c>
      <c r="B45" s="99" t="s">
        <v>750</v>
      </c>
      <c r="C45" s="108" t="s">
        <v>243</v>
      </c>
      <c r="D45" s="99" t="s">
        <v>254</v>
      </c>
      <c r="E45" s="99">
        <v>3.0</v>
      </c>
      <c r="F45" s="108">
        <v>1.0</v>
      </c>
      <c r="G45" s="111" t="s">
        <v>751</v>
      </c>
      <c r="H45" s="91"/>
      <c r="I45" s="91"/>
      <c r="J45" s="91"/>
      <c r="K45" s="91"/>
      <c r="L45" s="91"/>
      <c r="M45" s="91"/>
      <c r="N45" s="91"/>
      <c r="O45" s="91"/>
      <c r="P45" s="91"/>
      <c r="Q45" s="91"/>
      <c r="R45" s="91"/>
      <c r="S45" s="91"/>
      <c r="T45" s="91"/>
      <c r="U45" s="91"/>
      <c r="V45" s="91"/>
      <c r="W45" s="91"/>
      <c r="X45" s="91"/>
      <c r="Y45" s="91"/>
      <c r="Z45" s="91"/>
    </row>
    <row r="46">
      <c r="A46" s="96">
        <f t="shared" si="2"/>
        <v>3</v>
      </c>
      <c r="B46" s="99" t="s">
        <v>752</v>
      </c>
      <c r="C46" s="99" t="s">
        <v>753</v>
      </c>
      <c r="D46" s="99" t="s">
        <v>254</v>
      </c>
      <c r="E46" s="99">
        <v>3.0</v>
      </c>
      <c r="F46" s="99">
        <v>1.0</v>
      </c>
      <c r="G46" s="102" t="s">
        <v>754</v>
      </c>
      <c r="H46" s="91"/>
      <c r="I46" s="91"/>
      <c r="J46" s="91"/>
      <c r="K46" s="91"/>
      <c r="L46" s="91"/>
      <c r="M46" s="91"/>
      <c r="N46" s="91"/>
      <c r="O46" s="91"/>
      <c r="P46" s="91"/>
      <c r="Q46" s="91"/>
      <c r="R46" s="91"/>
      <c r="S46" s="91"/>
      <c r="T46" s="91"/>
      <c r="U46" s="91"/>
      <c r="V46" s="91"/>
      <c r="W46" s="91"/>
      <c r="X46" s="91"/>
      <c r="Y46" s="91"/>
      <c r="Z46" s="91"/>
    </row>
    <row r="47">
      <c r="A47" s="96">
        <f t="shared" si="2"/>
        <v>3</v>
      </c>
      <c r="B47" s="112">
        <v>43803.0</v>
      </c>
      <c r="C47" s="108" t="s">
        <v>243</v>
      </c>
      <c r="D47" s="99" t="s">
        <v>254</v>
      </c>
      <c r="E47" s="99">
        <v>3.0</v>
      </c>
      <c r="F47" s="99">
        <v>1.0</v>
      </c>
      <c r="G47" s="111" t="s">
        <v>755</v>
      </c>
      <c r="H47" s="91"/>
      <c r="I47" s="91"/>
      <c r="J47" s="91"/>
      <c r="K47" s="91"/>
      <c r="L47" s="91"/>
      <c r="M47" s="91"/>
      <c r="N47" s="91"/>
      <c r="O47" s="91"/>
      <c r="P47" s="91"/>
      <c r="Q47" s="91"/>
      <c r="R47" s="91"/>
      <c r="S47" s="91"/>
      <c r="T47" s="91"/>
      <c r="U47" s="91"/>
      <c r="V47" s="91"/>
      <c r="W47" s="91"/>
      <c r="X47" s="91"/>
      <c r="Y47" s="91"/>
      <c r="Z47" s="91"/>
    </row>
    <row r="48">
      <c r="A48" s="96">
        <f t="shared" si="2"/>
        <v>5</v>
      </c>
      <c r="B48" s="112">
        <v>43589.0</v>
      </c>
      <c r="C48" s="99" t="s">
        <v>214</v>
      </c>
      <c r="D48" s="99" t="s">
        <v>756</v>
      </c>
      <c r="E48" s="99">
        <v>5.0</v>
      </c>
      <c r="F48" s="99">
        <v>1.0</v>
      </c>
      <c r="G48" s="113" t="s">
        <v>757</v>
      </c>
      <c r="H48" s="91"/>
      <c r="I48" s="91"/>
      <c r="J48" s="91"/>
      <c r="K48" s="91"/>
      <c r="L48" s="91"/>
      <c r="M48" s="91"/>
      <c r="N48" s="91"/>
      <c r="O48" s="91"/>
      <c r="P48" s="91"/>
      <c r="Q48" s="91"/>
      <c r="R48" s="91"/>
      <c r="S48" s="91"/>
      <c r="T48" s="91"/>
      <c r="U48" s="91"/>
      <c r="V48" s="91"/>
      <c r="W48" s="91"/>
      <c r="X48" s="91"/>
      <c r="Y48" s="91"/>
      <c r="Z48" s="91"/>
    </row>
    <row r="49">
      <c r="A49" s="96">
        <f t="shared" si="2"/>
        <v>8</v>
      </c>
      <c r="B49" s="99" t="s">
        <v>758</v>
      </c>
      <c r="C49" s="99" t="s">
        <v>214</v>
      </c>
      <c r="D49" s="99" t="s">
        <v>247</v>
      </c>
      <c r="E49" s="99">
        <v>8.0</v>
      </c>
      <c r="F49" s="99">
        <v>1.0</v>
      </c>
      <c r="G49" s="113" t="s">
        <v>759</v>
      </c>
      <c r="H49" s="91"/>
      <c r="I49" s="91"/>
      <c r="J49" s="91"/>
      <c r="K49" s="91"/>
      <c r="L49" s="91"/>
      <c r="M49" s="91"/>
      <c r="N49" s="91"/>
      <c r="O49" s="91"/>
      <c r="P49" s="91"/>
      <c r="Q49" s="91"/>
      <c r="R49" s="91"/>
      <c r="S49" s="91"/>
      <c r="T49" s="91"/>
      <c r="U49" s="91"/>
      <c r="V49" s="91"/>
      <c r="W49" s="91"/>
      <c r="X49" s="91"/>
      <c r="Y49" s="91"/>
      <c r="Z49" s="91"/>
    </row>
    <row r="50">
      <c r="A50" s="114">
        <v>2.0</v>
      </c>
      <c r="B50" s="115" t="s">
        <v>760</v>
      </c>
      <c r="C50" s="115" t="s">
        <v>243</v>
      </c>
      <c r="D50" s="115" t="s">
        <v>761</v>
      </c>
      <c r="E50" s="115">
        <v>2.0</v>
      </c>
      <c r="F50" s="115">
        <v>1.0</v>
      </c>
      <c r="G50" s="116" t="s">
        <v>762</v>
      </c>
      <c r="H50" s="117"/>
      <c r="I50" s="117"/>
      <c r="J50" s="117"/>
      <c r="K50" s="117"/>
      <c r="L50" s="117"/>
      <c r="M50" s="117"/>
      <c r="N50" s="117"/>
      <c r="O50" s="117"/>
      <c r="P50" s="117"/>
      <c r="Q50" s="117"/>
      <c r="R50" s="117"/>
      <c r="S50" s="117"/>
      <c r="T50" s="117"/>
      <c r="U50" s="117"/>
      <c r="V50" s="117"/>
      <c r="W50" s="117"/>
      <c r="X50" s="117"/>
      <c r="Y50" s="117"/>
      <c r="Z50" s="117"/>
    </row>
    <row r="51">
      <c r="A51" s="96">
        <f t="shared" ref="A51:A58" si="3">E51*F51</f>
        <v>2</v>
      </c>
      <c r="B51" s="99" t="s">
        <v>763</v>
      </c>
      <c r="C51" s="99" t="s">
        <v>764</v>
      </c>
      <c r="D51" s="99" t="s">
        <v>694</v>
      </c>
      <c r="E51" s="99">
        <v>2.0</v>
      </c>
      <c r="F51" s="99">
        <v>1.0</v>
      </c>
      <c r="G51" s="113" t="s">
        <v>765</v>
      </c>
      <c r="H51" s="91"/>
      <c r="I51" s="91"/>
      <c r="J51" s="91"/>
      <c r="K51" s="91"/>
      <c r="L51" s="91"/>
      <c r="M51" s="91"/>
      <c r="N51" s="91"/>
      <c r="O51" s="91"/>
      <c r="P51" s="91"/>
      <c r="Q51" s="91"/>
      <c r="R51" s="91"/>
      <c r="S51" s="91"/>
      <c r="T51" s="91"/>
      <c r="U51" s="91"/>
      <c r="V51" s="91"/>
      <c r="W51" s="91"/>
      <c r="X51" s="91"/>
      <c r="Y51" s="91"/>
      <c r="Z51" s="91"/>
    </row>
    <row r="52">
      <c r="A52" s="96">
        <f t="shared" si="3"/>
        <v>156</v>
      </c>
      <c r="B52" s="108" t="s">
        <v>766</v>
      </c>
      <c r="C52" s="108" t="s">
        <v>148</v>
      </c>
      <c r="D52" s="97" t="s">
        <v>254</v>
      </c>
      <c r="E52" s="108">
        <v>13.0</v>
      </c>
      <c r="F52" s="108">
        <v>12.0</v>
      </c>
      <c r="G52" s="105" t="s">
        <v>767</v>
      </c>
      <c r="H52" s="110"/>
      <c r="I52" s="110"/>
      <c r="J52" s="110"/>
      <c r="K52" s="110"/>
      <c r="L52" s="110"/>
      <c r="M52" s="110"/>
      <c r="N52" s="110"/>
      <c r="O52" s="110"/>
      <c r="P52" s="110"/>
      <c r="Q52" s="110"/>
      <c r="R52" s="110"/>
      <c r="S52" s="110"/>
      <c r="T52" s="110"/>
      <c r="U52" s="110"/>
      <c r="V52" s="110"/>
      <c r="W52" s="110"/>
      <c r="X52" s="110"/>
      <c r="Y52" s="110"/>
      <c r="Z52" s="110"/>
    </row>
    <row r="53">
      <c r="A53" s="107">
        <f t="shared" si="3"/>
        <v>2</v>
      </c>
      <c r="B53" s="108" t="s">
        <v>768</v>
      </c>
      <c r="C53" s="108" t="s">
        <v>41</v>
      </c>
      <c r="D53" s="97" t="s">
        <v>657</v>
      </c>
      <c r="E53" s="108">
        <v>2.0</v>
      </c>
      <c r="F53" s="108">
        <v>1.0</v>
      </c>
      <c r="G53" s="105" t="s">
        <v>769</v>
      </c>
      <c r="H53" s="110"/>
      <c r="I53" s="110"/>
      <c r="J53" s="110"/>
      <c r="K53" s="110"/>
      <c r="L53" s="110"/>
      <c r="M53" s="110"/>
      <c r="N53" s="110"/>
      <c r="O53" s="110"/>
      <c r="P53" s="110"/>
      <c r="Q53" s="110"/>
      <c r="R53" s="110"/>
      <c r="S53" s="110"/>
      <c r="T53" s="110"/>
      <c r="U53" s="110"/>
      <c r="V53" s="110"/>
      <c r="W53" s="110"/>
      <c r="X53" s="110"/>
      <c r="Y53" s="110"/>
      <c r="Z53" s="110"/>
    </row>
    <row r="54">
      <c r="A54" s="107">
        <f t="shared" si="3"/>
        <v>4</v>
      </c>
      <c r="B54" s="108" t="s">
        <v>770</v>
      </c>
      <c r="C54" s="108" t="s">
        <v>41</v>
      </c>
      <c r="D54" s="99" t="s">
        <v>23</v>
      </c>
      <c r="E54" s="99">
        <v>4.0</v>
      </c>
      <c r="F54" s="99">
        <v>1.0</v>
      </c>
      <c r="G54" s="113" t="s">
        <v>771</v>
      </c>
      <c r="H54" s="91"/>
      <c r="I54" s="91"/>
      <c r="J54" s="91"/>
      <c r="K54" s="91"/>
      <c r="L54" s="91"/>
      <c r="M54" s="91"/>
      <c r="N54" s="91"/>
      <c r="O54" s="91"/>
      <c r="P54" s="91"/>
      <c r="Q54" s="91"/>
      <c r="R54" s="91"/>
      <c r="S54" s="91"/>
      <c r="T54" s="91"/>
      <c r="U54" s="91"/>
      <c r="V54" s="91"/>
      <c r="W54" s="91"/>
      <c r="X54" s="91"/>
      <c r="Y54" s="91"/>
      <c r="Z54" s="91"/>
    </row>
    <row r="55">
      <c r="A55" s="96">
        <f t="shared" si="3"/>
        <v>2</v>
      </c>
      <c r="B55" s="99" t="s">
        <v>772</v>
      </c>
      <c r="C55" s="99" t="s">
        <v>22</v>
      </c>
      <c r="D55" s="99" t="s">
        <v>176</v>
      </c>
      <c r="E55" s="99">
        <v>2.0</v>
      </c>
      <c r="F55" s="99">
        <v>1.0</v>
      </c>
      <c r="G55" s="113" t="s">
        <v>773</v>
      </c>
      <c r="H55" s="91"/>
      <c r="I55" s="91"/>
      <c r="J55" s="91"/>
      <c r="K55" s="91"/>
      <c r="L55" s="91"/>
      <c r="M55" s="91"/>
      <c r="N55" s="91"/>
      <c r="O55" s="91"/>
      <c r="P55" s="91"/>
      <c r="Q55" s="91"/>
      <c r="R55" s="91"/>
      <c r="S55" s="91"/>
      <c r="T55" s="91"/>
      <c r="U55" s="91"/>
      <c r="V55" s="91"/>
      <c r="W55" s="91"/>
      <c r="X55" s="91"/>
      <c r="Y55" s="91"/>
      <c r="Z55" s="91"/>
    </row>
    <row r="56">
      <c r="A56" s="96">
        <f t="shared" si="3"/>
        <v>2</v>
      </c>
      <c r="B56" s="99" t="s">
        <v>774</v>
      </c>
      <c r="C56" s="99" t="s">
        <v>41</v>
      </c>
      <c r="D56" s="99" t="s">
        <v>694</v>
      </c>
      <c r="E56" s="99">
        <v>2.0</v>
      </c>
      <c r="F56" s="99">
        <v>1.0</v>
      </c>
      <c r="G56" s="113" t="s">
        <v>775</v>
      </c>
      <c r="H56" s="91"/>
      <c r="I56" s="91"/>
      <c r="J56" s="91"/>
      <c r="K56" s="91"/>
      <c r="L56" s="91"/>
      <c r="M56" s="91"/>
      <c r="N56" s="91"/>
      <c r="O56" s="91"/>
      <c r="P56" s="91"/>
      <c r="Q56" s="91"/>
      <c r="R56" s="91"/>
      <c r="S56" s="91"/>
      <c r="T56" s="91"/>
      <c r="U56" s="91"/>
      <c r="V56" s="91"/>
      <c r="W56" s="91"/>
      <c r="X56" s="91"/>
      <c r="Y56" s="91"/>
      <c r="Z56" s="91"/>
    </row>
    <row r="57">
      <c r="A57" s="96">
        <f t="shared" si="3"/>
        <v>3</v>
      </c>
      <c r="B57" s="99" t="s">
        <v>776</v>
      </c>
      <c r="C57" s="99" t="s">
        <v>214</v>
      </c>
      <c r="D57" s="99" t="s">
        <v>23</v>
      </c>
      <c r="E57" s="99">
        <v>3.0</v>
      </c>
      <c r="F57" s="99">
        <v>1.0</v>
      </c>
      <c r="G57" s="113" t="s">
        <v>777</v>
      </c>
      <c r="H57" s="91"/>
      <c r="I57" s="91"/>
      <c r="J57" s="91"/>
      <c r="K57" s="91"/>
      <c r="L57" s="91"/>
      <c r="M57" s="91"/>
      <c r="N57" s="91"/>
      <c r="O57" s="91"/>
      <c r="P57" s="91"/>
      <c r="Q57" s="91"/>
      <c r="R57" s="91"/>
      <c r="S57" s="91"/>
      <c r="T57" s="91"/>
      <c r="U57" s="91"/>
      <c r="V57" s="91"/>
      <c r="W57" s="91"/>
      <c r="X57" s="91"/>
      <c r="Y57" s="91"/>
      <c r="Z57" s="91"/>
    </row>
    <row r="58">
      <c r="A58" s="107">
        <f t="shared" si="3"/>
        <v>7</v>
      </c>
      <c r="B58" s="108" t="s">
        <v>778</v>
      </c>
      <c r="C58" s="108" t="s">
        <v>779</v>
      </c>
      <c r="D58" s="99" t="s">
        <v>176</v>
      </c>
      <c r="E58" s="108">
        <v>7.0</v>
      </c>
      <c r="F58" s="108">
        <v>1.0</v>
      </c>
      <c r="G58" s="105" t="s">
        <v>780</v>
      </c>
      <c r="H58" s="91"/>
      <c r="I58" s="91"/>
      <c r="J58" s="91"/>
      <c r="K58" s="91"/>
      <c r="L58" s="91"/>
      <c r="M58" s="91"/>
      <c r="N58" s="91"/>
      <c r="O58" s="91"/>
      <c r="P58" s="91"/>
      <c r="Q58" s="91"/>
      <c r="R58" s="91"/>
      <c r="S58" s="91"/>
      <c r="T58" s="91"/>
      <c r="U58" s="91"/>
      <c r="V58" s="91"/>
      <c r="W58" s="91"/>
      <c r="X58" s="91"/>
      <c r="Y58" s="91"/>
      <c r="Z58" s="91"/>
    </row>
    <row r="59">
      <c r="A59" s="96">
        <v>6.0</v>
      </c>
      <c r="B59" s="99" t="s">
        <v>778</v>
      </c>
      <c r="C59" s="108" t="s">
        <v>214</v>
      </c>
      <c r="D59" s="108" t="s">
        <v>781</v>
      </c>
      <c r="E59" s="99">
        <v>6.0</v>
      </c>
      <c r="F59" s="99">
        <v>1.0</v>
      </c>
      <c r="G59" s="113" t="s">
        <v>782</v>
      </c>
      <c r="H59" s="91"/>
      <c r="I59" s="91"/>
      <c r="J59" s="91"/>
      <c r="K59" s="91"/>
      <c r="L59" s="91"/>
      <c r="M59" s="91"/>
      <c r="N59" s="91"/>
      <c r="O59" s="91"/>
      <c r="P59" s="91"/>
      <c r="Q59" s="91"/>
      <c r="R59" s="91"/>
      <c r="S59" s="91"/>
      <c r="T59" s="91"/>
      <c r="U59" s="91"/>
      <c r="V59" s="91"/>
      <c r="W59" s="91"/>
      <c r="X59" s="91"/>
      <c r="Y59" s="91"/>
      <c r="Z59" s="91"/>
    </row>
    <row r="60">
      <c r="A60" s="96">
        <f t="shared" ref="A60:A61" si="4">E60*F60</f>
        <v>2</v>
      </c>
      <c r="B60" s="99" t="s">
        <v>783</v>
      </c>
      <c r="C60" s="99" t="s">
        <v>784</v>
      </c>
      <c r="D60" s="99" t="s">
        <v>785</v>
      </c>
      <c r="E60" s="99">
        <v>2.0</v>
      </c>
      <c r="F60" s="99">
        <v>1.0</v>
      </c>
      <c r="G60" s="113" t="s">
        <v>786</v>
      </c>
      <c r="H60" s="91"/>
      <c r="I60" s="91"/>
      <c r="J60" s="91"/>
      <c r="K60" s="91"/>
      <c r="L60" s="91"/>
      <c r="M60" s="91"/>
      <c r="N60" s="91"/>
      <c r="O60" s="91"/>
      <c r="P60" s="91"/>
      <c r="Q60" s="91"/>
      <c r="R60" s="91"/>
      <c r="S60" s="91"/>
      <c r="T60" s="91"/>
      <c r="U60" s="91"/>
      <c r="V60" s="91"/>
      <c r="W60" s="91"/>
      <c r="X60" s="91"/>
      <c r="Y60" s="91"/>
      <c r="Z60" s="91"/>
    </row>
    <row r="61">
      <c r="A61" s="107">
        <f t="shared" si="4"/>
        <v>3</v>
      </c>
      <c r="B61" s="97" t="s">
        <v>787</v>
      </c>
      <c r="C61" s="108" t="s">
        <v>214</v>
      </c>
      <c r="D61" s="97" t="s">
        <v>657</v>
      </c>
      <c r="E61" s="108">
        <v>3.0</v>
      </c>
      <c r="F61" s="108">
        <v>1.0</v>
      </c>
      <c r="G61" s="105" t="s">
        <v>788</v>
      </c>
      <c r="H61" s="91"/>
      <c r="I61" s="91"/>
      <c r="J61" s="91"/>
      <c r="K61" s="91"/>
      <c r="L61" s="91"/>
      <c r="M61" s="91"/>
      <c r="N61" s="91"/>
      <c r="O61" s="91"/>
      <c r="P61" s="91"/>
      <c r="Q61" s="91"/>
      <c r="R61" s="91"/>
      <c r="S61" s="91"/>
      <c r="T61" s="91"/>
      <c r="U61" s="91"/>
      <c r="V61" s="91"/>
      <c r="W61" s="91"/>
      <c r="X61" s="91"/>
      <c r="Y61" s="91"/>
      <c r="Z61" s="91"/>
    </row>
    <row r="62">
      <c r="A62" s="118">
        <v>2.0</v>
      </c>
      <c r="B62" s="119">
        <v>43801.0</v>
      </c>
      <c r="C62" s="99" t="s">
        <v>789</v>
      </c>
      <c r="D62" s="99" t="s">
        <v>78</v>
      </c>
      <c r="E62" s="108">
        <v>2.0</v>
      </c>
      <c r="F62" s="108">
        <v>1.0</v>
      </c>
      <c r="G62" s="113" t="s">
        <v>790</v>
      </c>
      <c r="H62" s="91"/>
      <c r="I62" s="91"/>
      <c r="J62" s="91"/>
      <c r="K62" s="91"/>
      <c r="L62" s="91"/>
      <c r="M62" s="91"/>
      <c r="N62" s="91"/>
      <c r="O62" s="91"/>
      <c r="P62" s="91"/>
      <c r="Q62" s="91"/>
      <c r="R62" s="91"/>
      <c r="S62" s="91"/>
      <c r="T62" s="91"/>
      <c r="U62" s="91"/>
      <c r="V62" s="91"/>
      <c r="W62" s="91"/>
      <c r="X62" s="91"/>
      <c r="Y62" s="91"/>
      <c r="Z62" s="91"/>
    </row>
    <row r="63">
      <c r="A63" s="107">
        <f t="shared" ref="A63:A64" si="5">E63*F63</f>
        <v>2</v>
      </c>
      <c r="B63" s="119">
        <v>43617.0</v>
      </c>
      <c r="C63" s="99" t="s">
        <v>791</v>
      </c>
      <c r="D63" s="99" t="s">
        <v>247</v>
      </c>
      <c r="E63" s="108">
        <v>2.0</v>
      </c>
      <c r="F63" s="108">
        <v>1.0</v>
      </c>
      <c r="G63" s="113" t="s">
        <v>792</v>
      </c>
      <c r="H63" s="91"/>
      <c r="I63" s="91"/>
      <c r="J63" s="91"/>
      <c r="K63" s="91"/>
      <c r="L63" s="91"/>
      <c r="M63" s="91"/>
      <c r="N63" s="91"/>
      <c r="O63" s="91"/>
      <c r="P63" s="91"/>
      <c r="Q63" s="91"/>
      <c r="R63" s="91"/>
      <c r="S63" s="91"/>
      <c r="T63" s="91"/>
      <c r="U63" s="91"/>
      <c r="V63" s="91"/>
      <c r="W63" s="91"/>
      <c r="X63" s="91"/>
      <c r="Y63" s="91"/>
      <c r="Z63" s="91"/>
    </row>
    <row r="64">
      <c r="A64" s="107">
        <f t="shared" si="5"/>
        <v>10</v>
      </c>
      <c r="B64" s="119">
        <v>43586.0</v>
      </c>
      <c r="C64" s="99" t="s">
        <v>791</v>
      </c>
      <c r="D64" s="99" t="s">
        <v>176</v>
      </c>
      <c r="E64" s="97">
        <v>10.0</v>
      </c>
      <c r="F64" s="108">
        <v>1.0</v>
      </c>
      <c r="G64" s="113" t="s">
        <v>793</v>
      </c>
      <c r="H64" s="91"/>
      <c r="I64" s="91"/>
      <c r="J64" s="91"/>
      <c r="K64" s="91"/>
      <c r="L64" s="91"/>
      <c r="M64" s="91"/>
      <c r="N64" s="91"/>
      <c r="O64" s="91"/>
      <c r="P64" s="91"/>
      <c r="Q64" s="91"/>
      <c r="R64" s="91"/>
      <c r="S64" s="91"/>
      <c r="T64" s="91"/>
      <c r="U64" s="91"/>
      <c r="V64" s="91"/>
      <c r="W64" s="91"/>
      <c r="X64" s="91"/>
      <c r="Y64" s="91"/>
      <c r="Z64" s="91"/>
    </row>
    <row r="65">
      <c r="A65" s="92"/>
      <c r="B65" s="120"/>
      <c r="C65" s="95"/>
      <c r="D65" s="95"/>
      <c r="E65" s="95"/>
      <c r="F65" s="95"/>
      <c r="G65" s="121"/>
      <c r="H65" s="91"/>
      <c r="I65" s="91"/>
      <c r="J65" s="91"/>
      <c r="K65" s="91"/>
      <c r="L65" s="91"/>
      <c r="M65" s="91"/>
      <c r="N65" s="91"/>
      <c r="O65" s="91"/>
      <c r="P65" s="91"/>
      <c r="Q65" s="91"/>
      <c r="R65" s="91"/>
      <c r="S65" s="91"/>
      <c r="T65" s="91"/>
      <c r="U65" s="91"/>
      <c r="V65" s="91"/>
      <c r="W65" s="91"/>
      <c r="X65" s="91"/>
      <c r="Y65" s="91"/>
      <c r="Z65" s="91"/>
    </row>
    <row r="66">
      <c r="A66" s="92"/>
      <c r="B66" s="93"/>
      <c r="C66" s="95"/>
      <c r="D66" s="95"/>
      <c r="E66" s="95"/>
      <c r="F66" s="95"/>
      <c r="G66" s="121"/>
      <c r="H66" s="91"/>
      <c r="I66" s="91"/>
      <c r="J66" s="91"/>
      <c r="K66" s="91"/>
      <c r="L66" s="91"/>
      <c r="M66" s="91"/>
      <c r="N66" s="91"/>
      <c r="O66" s="91"/>
      <c r="P66" s="91"/>
      <c r="Q66" s="91"/>
      <c r="R66" s="91"/>
      <c r="S66" s="91"/>
      <c r="T66" s="91"/>
      <c r="U66" s="91"/>
      <c r="V66" s="91"/>
      <c r="W66" s="91"/>
      <c r="X66" s="91"/>
      <c r="Y66" s="91"/>
      <c r="Z66" s="91"/>
    </row>
    <row r="67">
      <c r="A67" s="92"/>
      <c r="B67" s="120"/>
      <c r="C67" s="95"/>
      <c r="D67" s="95"/>
      <c r="E67" s="95"/>
      <c r="F67" s="95"/>
      <c r="G67" s="121"/>
      <c r="H67" s="91"/>
      <c r="I67" s="91"/>
      <c r="J67" s="91"/>
      <c r="K67" s="91"/>
      <c r="L67" s="91"/>
      <c r="M67" s="91"/>
      <c r="N67" s="91"/>
      <c r="O67" s="91"/>
      <c r="P67" s="91"/>
      <c r="Q67" s="91"/>
      <c r="R67" s="91"/>
      <c r="S67" s="91"/>
      <c r="T67" s="91"/>
      <c r="U67" s="91"/>
      <c r="V67" s="91"/>
      <c r="W67" s="91"/>
      <c r="X67" s="91"/>
      <c r="Y67" s="91"/>
      <c r="Z67" s="91"/>
    </row>
    <row r="68">
      <c r="A68" s="92"/>
      <c r="B68" s="95"/>
      <c r="C68" s="95"/>
      <c r="D68" s="95"/>
      <c r="E68" s="95"/>
      <c r="F68" s="95"/>
      <c r="G68" s="121"/>
      <c r="H68" s="91"/>
      <c r="I68" s="91"/>
      <c r="J68" s="91"/>
      <c r="K68" s="91"/>
      <c r="L68" s="91"/>
      <c r="M68" s="91"/>
      <c r="N68" s="91"/>
      <c r="O68" s="91"/>
      <c r="P68" s="91"/>
      <c r="Q68" s="91"/>
      <c r="R68" s="91"/>
      <c r="S68" s="91"/>
      <c r="T68" s="91"/>
      <c r="U68" s="91"/>
      <c r="V68" s="91"/>
      <c r="W68" s="91"/>
      <c r="X68" s="91"/>
      <c r="Y68" s="91"/>
      <c r="Z68" s="91"/>
    </row>
    <row r="69">
      <c r="A69" s="92"/>
      <c r="B69" s="95"/>
      <c r="C69" s="92"/>
      <c r="D69" s="92"/>
      <c r="E69" s="92"/>
      <c r="F69" s="92"/>
      <c r="G69" s="121"/>
      <c r="H69" s="91"/>
      <c r="I69" s="91"/>
      <c r="J69" s="91"/>
      <c r="K69" s="91"/>
      <c r="L69" s="91"/>
      <c r="M69" s="91"/>
      <c r="N69" s="91"/>
      <c r="O69" s="91"/>
      <c r="P69" s="91"/>
      <c r="Q69" s="91"/>
      <c r="R69" s="91"/>
      <c r="S69" s="91"/>
      <c r="T69" s="91"/>
      <c r="U69" s="91"/>
      <c r="V69" s="91"/>
      <c r="W69" s="91"/>
      <c r="X69" s="91"/>
      <c r="Y69" s="91"/>
      <c r="Z69" s="91"/>
    </row>
    <row r="70">
      <c r="A70" s="92"/>
      <c r="B70" s="95"/>
      <c r="C70" s="92"/>
      <c r="D70" s="92"/>
      <c r="E70" s="92"/>
      <c r="F70" s="92"/>
      <c r="G70" s="121"/>
      <c r="H70" s="91"/>
      <c r="I70" s="91"/>
      <c r="J70" s="91"/>
      <c r="K70" s="91"/>
      <c r="L70" s="91"/>
      <c r="M70" s="91"/>
      <c r="N70" s="91"/>
      <c r="O70" s="91"/>
      <c r="P70" s="91"/>
      <c r="Q70" s="91"/>
      <c r="R70" s="91"/>
      <c r="S70" s="91"/>
      <c r="T70" s="91"/>
      <c r="U70" s="91"/>
      <c r="V70" s="91"/>
      <c r="W70" s="91"/>
      <c r="X70" s="91"/>
      <c r="Y70" s="91"/>
      <c r="Z70" s="91"/>
    </row>
    <row r="71">
      <c r="A71" s="121"/>
      <c r="B71" s="122"/>
      <c r="C71" s="121"/>
      <c r="D71" s="121"/>
      <c r="E71" s="121"/>
      <c r="F71" s="121"/>
      <c r="G71" s="121"/>
      <c r="H71" s="91"/>
      <c r="I71" s="91"/>
      <c r="J71" s="91"/>
      <c r="K71" s="91"/>
      <c r="L71" s="91"/>
      <c r="M71" s="91"/>
      <c r="N71" s="91"/>
      <c r="O71" s="91"/>
      <c r="P71" s="91"/>
      <c r="Q71" s="91"/>
      <c r="R71" s="91"/>
      <c r="S71" s="91"/>
      <c r="T71" s="91"/>
      <c r="U71" s="91"/>
      <c r="V71" s="91"/>
      <c r="W71" s="91"/>
      <c r="X71" s="91"/>
      <c r="Y71" s="91"/>
      <c r="Z71" s="91"/>
    </row>
    <row r="72">
      <c r="A72" s="121"/>
      <c r="B72" s="122"/>
      <c r="C72" s="121"/>
      <c r="D72" s="121"/>
      <c r="E72" s="121"/>
      <c r="F72" s="121"/>
      <c r="G72" s="121"/>
      <c r="H72" s="91"/>
      <c r="I72" s="91"/>
      <c r="J72" s="91"/>
      <c r="K72" s="91"/>
      <c r="L72" s="91"/>
      <c r="M72" s="91"/>
      <c r="N72" s="91"/>
      <c r="O72" s="91"/>
      <c r="P72" s="91"/>
      <c r="Q72" s="91"/>
      <c r="R72" s="91"/>
      <c r="S72" s="91"/>
      <c r="T72" s="91"/>
      <c r="U72" s="91"/>
      <c r="V72" s="91"/>
      <c r="W72" s="91"/>
      <c r="X72" s="91"/>
      <c r="Y72" s="91"/>
      <c r="Z72" s="91"/>
    </row>
    <row r="73">
      <c r="A73" s="121"/>
      <c r="B73" s="122"/>
      <c r="C73" s="121"/>
      <c r="D73" s="121"/>
      <c r="E73" s="121"/>
      <c r="F73" s="121"/>
      <c r="G73" s="121"/>
      <c r="H73" s="91"/>
      <c r="I73" s="91"/>
      <c r="J73" s="91"/>
      <c r="K73" s="91"/>
      <c r="L73" s="91"/>
      <c r="M73" s="91"/>
      <c r="N73" s="91"/>
      <c r="O73" s="91"/>
      <c r="P73" s="91"/>
      <c r="Q73" s="91"/>
      <c r="R73" s="91"/>
      <c r="S73" s="91"/>
      <c r="T73" s="91"/>
      <c r="U73" s="91"/>
      <c r="V73" s="91"/>
      <c r="W73" s="91"/>
      <c r="X73" s="91"/>
      <c r="Y73" s="91"/>
      <c r="Z73" s="91"/>
    </row>
    <row r="74">
      <c r="A74" s="121"/>
      <c r="B74" s="122"/>
      <c r="C74" s="121"/>
      <c r="D74" s="121"/>
      <c r="E74" s="121"/>
      <c r="F74" s="121"/>
      <c r="G74" s="121"/>
      <c r="H74" s="91"/>
      <c r="I74" s="91"/>
      <c r="J74" s="91"/>
      <c r="K74" s="91"/>
      <c r="L74" s="91"/>
      <c r="M74" s="91"/>
      <c r="N74" s="91"/>
      <c r="O74" s="91"/>
      <c r="P74" s="91"/>
      <c r="Q74" s="91"/>
      <c r="R74" s="91"/>
      <c r="S74" s="91"/>
      <c r="T74" s="91"/>
      <c r="U74" s="91"/>
      <c r="V74" s="91"/>
      <c r="W74" s="91"/>
      <c r="X74" s="91"/>
      <c r="Y74" s="91"/>
      <c r="Z74" s="91"/>
    </row>
    <row r="75">
      <c r="A75" s="121"/>
      <c r="B75" s="123"/>
      <c r="C75" s="121"/>
      <c r="D75" s="121"/>
      <c r="E75" s="121"/>
      <c r="F75" s="121"/>
      <c r="G75" s="121"/>
      <c r="H75" s="91"/>
      <c r="I75" s="91"/>
      <c r="J75" s="91"/>
      <c r="K75" s="91"/>
      <c r="L75" s="91"/>
      <c r="M75" s="91"/>
      <c r="N75" s="91"/>
      <c r="O75" s="91"/>
      <c r="P75" s="91"/>
      <c r="Q75" s="91"/>
      <c r="R75" s="91"/>
      <c r="S75" s="91"/>
      <c r="T75" s="91"/>
      <c r="U75" s="91"/>
      <c r="V75" s="91"/>
      <c r="W75" s="91"/>
      <c r="X75" s="91"/>
      <c r="Y75" s="91"/>
      <c r="Z75" s="91"/>
    </row>
    <row r="76">
      <c r="A76" s="121"/>
      <c r="B76" s="123"/>
      <c r="C76" s="121"/>
      <c r="D76" s="121"/>
      <c r="E76" s="121"/>
      <c r="F76" s="121"/>
      <c r="G76" s="121"/>
      <c r="H76" s="91"/>
      <c r="I76" s="91"/>
      <c r="J76" s="91"/>
      <c r="K76" s="91"/>
      <c r="L76" s="91"/>
      <c r="M76" s="91"/>
      <c r="N76" s="91"/>
      <c r="O76" s="91"/>
      <c r="P76" s="91"/>
      <c r="Q76" s="91"/>
      <c r="R76" s="91"/>
      <c r="S76" s="91"/>
      <c r="T76" s="91"/>
      <c r="U76" s="91"/>
      <c r="V76" s="91"/>
      <c r="W76" s="91"/>
      <c r="X76" s="91"/>
      <c r="Y76" s="91"/>
      <c r="Z76" s="91"/>
    </row>
    <row r="77">
      <c r="A77" s="121"/>
      <c r="B77" s="123"/>
      <c r="C77" s="121"/>
      <c r="D77" s="121"/>
      <c r="E77" s="121"/>
      <c r="F77" s="121"/>
      <c r="G77" s="121"/>
      <c r="H77" s="91"/>
      <c r="I77" s="91"/>
      <c r="J77" s="91"/>
      <c r="K77" s="91"/>
      <c r="L77" s="91"/>
      <c r="M77" s="91"/>
      <c r="N77" s="91"/>
      <c r="O77" s="91"/>
      <c r="P77" s="91"/>
      <c r="Q77" s="91"/>
      <c r="R77" s="91"/>
      <c r="S77" s="91"/>
      <c r="T77" s="91"/>
      <c r="U77" s="91"/>
      <c r="V77" s="91"/>
      <c r="W77" s="91"/>
      <c r="X77" s="91"/>
      <c r="Y77" s="91"/>
      <c r="Z77" s="91"/>
    </row>
    <row r="78">
      <c r="A78" s="121"/>
      <c r="B78" s="123"/>
      <c r="C78" s="121"/>
      <c r="D78" s="121"/>
      <c r="E78" s="121"/>
      <c r="F78" s="121"/>
      <c r="G78" s="121"/>
      <c r="H78" s="91"/>
      <c r="I78" s="91"/>
      <c r="J78" s="91"/>
      <c r="K78" s="91"/>
      <c r="L78" s="91"/>
      <c r="M78" s="91"/>
      <c r="N78" s="91"/>
      <c r="O78" s="91"/>
      <c r="P78" s="91"/>
      <c r="Q78" s="91"/>
      <c r="R78" s="91"/>
      <c r="S78" s="91"/>
      <c r="T78" s="91"/>
      <c r="U78" s="91"/>
      <c r="V78" s="91"/>
      <c r="W78" s="91"/>
      <c r="X78" s="91"/>
      <c r="Y78" s="91"/>
      <c r="Z78" s="91"/>
    </row>
    <row r="79">
      <c r="A79" s="121"/>
      <c r="B79" s="123"/>
      <c r="C79" s="121"/>
      <c r="D79" s="121"/>
      <c r="E79" s="121"/>
      <c r="F79" s="121"/>
      <c r="G79" s="121"/>
      <c r="H79" s="91"/>
      <c r="I79" s="91"/>
      <c r="J79" s="91"/>
      <c r="K79" s="91"/>
      <c r="L79" s="91"/>
      <c r="M79" s="91"/>
      <c r="N79" s="91"/>
      <c r="O79" s="91"/>
      <c r="P79" s="91"/>
      <c r="Q79" s="91"/>
      <c r="R79" s="91"/>
      <c r="S79" s="91"/>
      <c r="T79" s="91"/>
      <c r="U79" s="91"/>
      <c r="V79" s="91"/>
      <c r="W79" s="91"/>
      <c r="X79" s="91"/>
      <c r="Y79" s="91"/>
      <c r="Z79" s="91"/>
    </row>
    <row r="80">
      <c r="A80" s="121"/>
      <c r="B80" s="122"/>
      <c r="C80" s="121"/>
      <c r="D80" s="121"/>
      <c r="E80" s="121"/>
      <c r="F80" s="121"/>
      <c r="G80" s="121"/>
      <c r="H80" s="91"/>
      <c r="I80" s="91"/>
      <c r="J80" s="91"/>
      <c r="K80" s="91"/>
      <c r="L80" s="91"/>
      <c r="M80" s="91"/>
      <c r="N80" s="91"/>
      <c r="O80" s="91"/>
      <c r="P80" s="91"/>
      <c r="Q80" s="91"/>
      <c r="R80" s="91"/>
      <c r="S80" s="91"/>
      <c r="T80" s="91"/>
      <c r="U80" s="91"/>
      <c r="V80" s="91"/>
      <c r="W80" s="91"/>
      <c r="X80" s="91"/>
      <c r="Y80" s="91"/>
      <c r="Z80" s="91"/>
    </row>
    <row r="81">
      <c r="A81" s="121"/>
      <c r="B81" s="122"/>
      <c r="C81" s="121"/>
      <c r="D81" s="121"/>
      <c r="E81" s="121"/>
      <c r="F81" s="121"/>
      <c r="G81" s="121"/>
      <c r="H81" s="91"/>
      <c r="I81" s="91"/>
      <c r="J81" s="91"/>
      <c r="K81" s="91"/>
      <c r="L81" s="91"/>
      <c r="M81" s="91"/>
      <c r="N81" s="91"/>
      <c r="O81" s="91"/>
      <c r="P81" s="91"/>
      <c r="Q81" s="91"/>
      <c r="R81" s="91"/>
      <c r="S81" s="91"/>
      <c r="T81" s="91"/>
      <c r="U81" s="91"/>
      <c r="V81" s="91"/>
      <c r="W81" s="91"/>
      <c r="X81" s="91"/>
      <c r="Y81" s="91"/>
      <c r="Z81" s="91"/>
    </row>
    <row r="82">
      <c r="A82" s="121"/>
      <c r="B82" s="122"/>
      <c r="C82" s="121"/>
      <c r="D82" s="121"/>
      <c r="E82" s="121"/>
      <c r="F82" s="121"/>
      <c r="G82" s="121"/>
      <c r="H82" s="91"/>
      <c r="I82" s="91"/>
      <c r="J82" s="91"/>
      <c r="K82" s="91"/>
      <c r="L82" s="91"/>
      <c r="M82" s="91"/>
      <c r="N82" s="91"/>
      <c r="O82" s="91"/>
      <c r="P82" s="91"/>
      <c r="Q82" s="91"/>
      <c r="R82" s="91"/>
      <c r="S82" s="91"/>
      <c r="T82" s="91"/>
      <c r="U82" s="91"/>
      <c r="V82" s="91"/>
      <c r="W82" s="91"/>
      <c r="X82" s="91"/>
      <c r="Y82" s="91"/>
      <c r="Z82" s="91"/>
    </row>
    <row r="83">
      <c r="A83" s="121"/>
      <c r="B83" s="122"/>
      <c r="C83" s="121"/>
      <c r="D83" s="121"/>
      <c r="E83" s="121"/>
      <c r="F83" s="121"/>
      <c r="G83" s="121"/>
      <c r="H83" s="91"/>
      <c r="I83" s="91"/>
      <c r="J83" s="91"/>
      <c r="K83" s="91"/>
      <c r="L83" s="91"/>
      <c r="M83" s="91"/>
      <c r="N83" s="91"/>
      <c r="O83" s="91"/>
      <c r="P83" s="91"/>
      <c r="Q83" s="91"/>
      <c r="R83" s="91"/>
      <c r="S83" s="91"/>
      <c r="T83" s="91"/>
      <c r="U83" s="91"/>
      <c r="V83" s="91"/>
      <c r="W83" s="91"/>
      <c r="X83" s="91"/>
      <c r="Y83" s="91"/>
      <c r="Z83" s="91"/>
    </row>
    <row r="84">
      <c r="A84" s="121"/>
      <c r="B84" s="122"/>
      <c r="C84" s="121"/>
      <c r="D84" s="121"/>
      <c r="E84" s="121"/>
      <c r="F84" s="121"/>
      <c r="G84" s="121"/>
      <c r="H84" s="91"/>
      <c r="I84" s="91"/>
      <c r="J84" s="91"/>
      <c r="K84" s="91"/>
      <c r="L84" s="91"/>
      <c r="M84" s="91"/>
      <c r="N84" s="91"/>
      <c r="O84" s="91"/>
      <c r="P84" s="91"/>
      <c r="Q84" s="91"/>
      <c r="R84" s="91"/>
      <c r="S84" s="91"/>
      <c r="T84" s="91"/>
      <c r="U84" s="91"/>
      <c r="V84" s="91"/>
      <c r="W84" s="91"/>
      <c r="X84" s="91"/>
      <c r="Y84" s="91"/>
      <c r="Z84" s="91"/>
    </row>
    <row r="85">
      <c r="A85" s="121"/>
      <c r="B85" s="122"/>
      <c r="C85" s="121"/>
      <c r="D85" s="121"/>
      <c r="E85" s="121"/>
      <c r="F85" s="121"/>
      <c r="G85" s="121"/>
      <c r="H85" s="91"/>
      <c r="I85" s="91"/>
      <c r="J85" s="91"/>
      <c r="K85" s="91"/>
      <c r="L85" s="91"/>
      <c r="M85" s="91"/>
      <c r="N85" s="91"/>
      <c r="O85" s="91"/>
      <c r="P85" s="91"/>
      <c r="Q85" s="91"/>
      <c r="R85" s="91"/>
      <c r="S85" s="91"/>
      <c r="T85" s="91"/>
      <c r="U85" s="91"/>
      <c r="V85" s="91"/>
      <c r="W85" s="91"/>
      <c r="X85" s="91"/>
      <c r="Y85" s="91"/>
      <c r="Z85" s="91"/>
    </row>
    <row r="86">
      <c r="A86" s="121"/>
      <c r="B86" s="123"/>
      <c r="C86" s="121"/>
      <c r="D86" s="121"/>
      <c r="E86" s="121"/>
      <c r="F86" s="121"/>
      <c r="G86" s="121"/>
      <c r="H86" s="91"/>
      <c r="I86" s="91"/>
      <c r="J86" s="91"/>
      <c r="K86" s="91"/>
      <c r="L86" s="91"/>
      <c r="M86" s="91"/>
      <c r="N86" s="91"/>
      <c r="O86" s="91"/>
      <c r="P86" s="91"/>
      <c r="Q86" s="91"/>
      <c r="R86" s="91"/>
      <c r="S86" s="91"/>
      <c r="T86" s="91"/>
      <c r="U86" s="91"/>
      <c r="V86" s="91"/>
      <c r="W86" s="91"/>
      <c r="X86" s="91"/>
      <c r="Y86" s="91"/>
      <c r="Z86" s="91"/>
    </row>
    <row r="87">
      <c r="A87" s="121"/>
      <c r="B87" s="123"/>
      <c r="C87" s="121"/>
      <c r="D87" s="121"/>
      <c r="E87" s="121"/>
      <c r="F87" s="121"/>
      <c r="G87" s="121"/>
      <c r="H87" s="91"/>
      <c r="I87" s="91"/>
      <c r="J87" s="91"/>
      <c r="K87" s="91"/>
      <c r="L87" s="91"/>
      <c r="M87" s="91"/>
      <c r="N87" s="91"/>
      <c r="O87" s="91"/>
      <c r="P87" s="91"/>
      <c r="Q87" s="91"/>
      <c r="R87" s="91"/>
      <c r="S87" s="91"/>
      <c r="T87" s="91"/>
      <c r="U87" s="91"/>
      <c r="V87" s="91"/>
      <c r="W87" s="91"/>
      <c r="X87" s="91"/>
      <c r="Y87" s="91"/>
      <c r="Z87" s="91"/>
    </row>
    <row r="88">
      <c r="A88" s="121"/>
      <c r="B88" s="122"/>
      <c r="C88" s="121"/>
      <c r="D88" s="121"/>
      <c r="E88" s="121"/>
      <c r="F88" s="121"/>
      <c r="G88" s="121"/>
      <c r="H88" s="91"/>
      <c r="I88" s="91"/>
      <c r="J88" s="91"/>
      <c r="K88" s="91"/>
      <c r="L88" s="91"/>
      <c r="M88" s="91"/>
      <c r="N88" s="91"/>
      <c r="O88" s="91"/>
      <c r="P88" s="91"/>
      <c r="Q88" s="91"/>
      <c r="R88" s="91"/>
      <c r="S88" s="91"/>
      <c r="T88" s="91"/>
      <c r="U88" s="91"/>
      <c r="V88" s="91"/>
      <c r="W88" s="91"/>
      <c r="X88" s="91"/>
      <c r="Y88" s="91"/>
      <c r="Z88" s="91"/>
    </row>
    <row r="89">
      <c r="A89" s="121"/>
      <c r="B89" s="122"/>
      <c r="C89" s="121"/>
      <c r="D89" s="121"/>
      <c r="E89" s="121"/>
      <c r="F89" s="121"/>
      <c r="G89" s="121"/>
      <c r="H89" s="91"/>
      <c r="I89" s="91"/>
      <c r="J89" s="91"/>
      <c r="K89" s="91"/>
      <c r="L89" s="91"/>
      <c r="M89" s="91"/>
      <c r="N89" s="91"/>
      <c r="O89" s="91"/>
      <c r="P89" s="91"/>
      <c r="Q89" s="91"/>
      <c r="R89" s="91"/>
      <c r="S89" s="91"/>
      <c r="T89" s="91"/>
      <c r="U89" s="91"/>
      <c r="V89" s="91"/>
      <c r="W89" s="91"/>
      <c r="X89" s="91"/>
      <c r="Y89" s="91"/>
      <c r="Z89" s="91"/>
    </row>
    <row r="90">
      <c r="A90" s="121"/>
      <c r="B90" s="122"/>
      <c r="C90" s="121"/>
      <c r="D90" s="121"/>
      <c r="E90" s="121"/>
      <c r="F90" s="121"/>
      <c r="G90" s="121"/>
      <c r="H90" s="91"/>
      <c r="I90" s="91"/>
      <c r="J90" s="91"/>
      <c r="K90" s="91"/>
      <c r="L90" s="91"/>
      <c r="M90" s="91"/>
      <c r="N90" s="91"/>
      <c r="O90" s="91"/>
      <c r="P90" s="91"/>
      <c r="Q90" s="91"/>
      <c r="R90" s="91"/>
      <c r="S90" s="91"/>
      <c r="T90" s="91"/>
      <c r="U90" s="91"/>
      <c r="V90" s="91"/>
      <c r="W90" s="91"/>
      <c r="X90" s="91"/>
      <c r="Y90" s="91"/>
      <c r="Z90" s="91"/>
    </row>
    <row r="91">
      <c r="A91" s="121"/>
      <c r="B91" s="122"/>
      <c r="C91" s="121"/>
      <c r="D91" s="121"/>
      <c r="E91" s="121"/>
      <c r="F91" s="121"/>
      <c r="G91" s="121"/>
      <c r="H91" s="91"/>
      <c r="I91" s="91"/>
      <c r="J91" s="91"/>
      <c r="K91" s="91"/>
      <c r="L91" s="91"/>
      <c r="M91" s="91"/>
      <c r="N91" s="91"/>
      <c r="O91" s="91"/>
      <c r="P91" s="91"/>
      <c r="Q91" s="91"/>
      <c r="R91" s="91"/>
      <c r="S91" s="91"/>
      <c r="T91" s="91"/>
      <c r="U91" s="91"/>
      <c r="V91" s="91"/>
      <c r="W91" s="91"/>
      <c r="X91" s="91"/>
      <c r="Y91" s="91"/>
      <c r="Z91" s="91"/>
    </row>
    <row r="92">
      <c r="A92" s="121"/>
      <c r="B92" s="122"/>
      <c r="C92" s="121"/>
      <c r="D92" s="121"/>
      <c r="E92" s="121"/>
      <c r="F92" s="121"/>
      <c r="G92" s="121"/>
      <c r="H92" s="91"/>
      <c r="I92" s="91"/>
      <c r="J92" s="91"/>
      <c r="K92" s="91"/>
      <c r="L92" s="91"/>
      <c r="M92" s="91"/>
      <c r="N92" s="91"/>
      <c r="O92" s="91"/>
      <c r="P92" s="91"/>
      <c r="Q92" s="91"/>
      <c r="R92" s="91"/>
      <c r="S92" s="91"/>
      <c r="T92" s="91"/>
      <c r="U92" s="91"/>
      <c r="V92" s="91"/>
      <c r="W92" s="91"/>
      <c r="X92" s="91"/>
      <c r="Y92" s="91"/>
      <c r="Z92" s="91"/>
    </row>
    <row r="93">
      <c r="A93" s="121"/>
      <c r="B93" s="122"/>
      <c r="C93" s="121"/>
      <c r="D93" s="121"/>
      <c r="E93" s="121"/>
      <c r="F93" s="121"/>
      <c r="G93" s="121"/>
      <c r="H93" s="91"/>
      <c r="I93" s="91"/>
      <c r="J93" s="91"/>
      <c r="K93" s="91"/>
      <c r="L93" s="91"/>
      <c r="M93" s="91"/>
      <c r="N93" s="91"/>
      <c r="O93" s="91"/>
      <c r="P93" s="91"/>
      <c r="Q93" s="91"/>
      <c r="R93" s="91"/>
      <c r="S93" s="91"/>
      <c r="T93" s="91"/>
      <c r="U93" s="91"/>
      <c r="V93" s="91"/>
      <c r="W93" s="91"/>
      <c r="X93" s="91"/>
      <c r="Y93" s="91"/>
      <c r="Z93" s="91"/>
    </row>
    <row r="94">
      <c r="A94" s="121"/>
      <c r="B94" s="122"/>
      <c r="C94" s="121"/>
      <c r="D94" s="121"/>
      <c r="E94" s="121"/>
      <c r="F94" s="121"/>
      <c r="G94" s="121"/>
      <c r="H94" s="91"/>
      <c r="I94" s="91"/>
      <c r="J94" s="91"/>
      <c r="K94" s="91"/>
      <c r="L94" s="91"/>
      <c r="M94" s="91"/>
      <c r="N94" s="91"/>
      <c r="O94" s="91"/>
      <c r="P94" s="91"/>
      <c r="Q94" s="91"/>
      <c r="R94" s="91"/>
      <c r="S94" s="91"/>
      <c r="T94" s="91"/>
      <c r="U94" s="91"/>
      <c r="V94" s="91"/>
      <c r="W94" s="91"/>
      <c r="X94" s="91"/>
      <c r="Y94" s="91"/>
      <c r="Z94" s="91"/>
    </row>
    <row r="95">
      <c r="A95" s="121"/>
      <c r="B95" s="122"/>
      <c r="C95" s="121"/>
      <c r="D95" s="121"/>
      <c r="E95" s="121"/>
      <c r="F95" s="121"/>
      <c r="G95" s="121"/>
      <c r="H95" s="91"/>
      <c r="I95" s="91"/>
      <c r="J95" s="91"/>
      <c r="K95" s="91"/>
      <c r="L95" s="91"/>
      <c r="M95" s="91"/>
      <c r="N95" s="91"/>
      <c r="O95" s="91"/>
      <c r="P95" s="91"/>
      <c r="Q95" s="91"/>
      <c r="R95" s="91"/>
      <c r="S95" s="91"/>
      <c r="T95" s="91"/>
      <c r="U95" s="91"/>
      <c r="V95" s="91"/>
      <c r="W95" s="91"/>
      <c r="X95" s="91"/>
      <c r="Y95" s="91"/>
      <c r="Z95" s="91"/>
    </row>
    <row r="96">
      <c r="A96" s="121"/>
      <c r="B96" s="123"/>
      <c r="C96" s="121"/>
      <c r="D96" s="121"/>
      <c r="E96" s="121"/>
      <c r="F96" s="121"/>
      <c r="G96" s="121"/>
      <c r="H96" s="91"/>
      <c r="I96" s="91"/>
      <c r="J96" s="91"/>
      <c r="K96" s="91"/>
      <c r="L96" s="91"/>
      <c r="M96" s="91"/>
      <c r="N96" s="91"/>
      <c r="O96" s="91"/>
      <c r="P96" s="91"/>
      <c r="Q96" s="91"/>
      <c r="R96" s="91"/>
      <c r="S96" s="91"/>
      <c r="T96" s="91"/>
      <c r="U96" s="91"/>
      <c r="V96" s="91"/>
      <c r="W96" s="91"/>
      <c r="X96" s="91"/>
      <c r="Y96" s="91"/>
      <c r="Z96" s="91"/>
    </row>
    <row r="97">
      <c r="A97" s="121"/>
      <c r="B97" s="123"/>
      <c r="C97" s="121"/>
      <c r="D97" s="121"/>
      <c r="E97" s="121"/>
      <c r="F97" s="121"/>
      <c r="G97" s="121"/>
      <c r="H97" s="91"/>
      <c r="I97" s="91"/>
      <c r="J97" s="91"/>
      <c r="K97" s="91"/>
      <c r="L97" s="91"/>
      <c r="M97" s="91"/>
      <c r="N97" s="91"/>
      <c r="O97" s="91"/>
      <c r="P97" s="91"/>
      <c r="Q97" s="91"/>
      <c r="R97" s="91"/>
      <c r="S97" s="91"/>
      <c r="T97" s="91"/>
      <c r="U97" s="91"/>
      <c r="V97" s="91"/>
      <c r="W97" s="91"/>
      <c r="X97" s="91"/>
      <c r="Y97" s="91"/>
      <c r="Z97" s="91"/>
    </row>
    <row r="98">
      <c r="A98" s="121"/>
      <c r="B98" s="124"/>
      <c r="C98" s="121"/>
      <c r="D98" s="121"/>
      <c r="E98" s="121"/>
      <c r="F98" s="121"/>
      <c r="G98" s="121"/>
      <c r="H98" s="91"/>
      <c r="I98" s="91"/>
      <c r="J98" s="91"/>
      <c r="K98" s="91"/>
      <c r="L98" s="91"/>
      <c r="M98" s="91"/>
      <c r="N98" s="91"/>
      <c r="O98" s="91"/>
      <c r="P98" s="91"/>
      <c r="Q98" s="91"/>
      <c r="R98" s="91"/>
      <c r="S98" s="91"/>
      <c r="T98" s="91"/>
      <c r="U98" s="91"/>
      <c r="V98" s="91"/>
      <c r="W98" s="91"/>
      <c r="X98" s="91"/>
      <c r="Y98" s="91"/>
      <c r="Z98" s="91"/>
    </row>
    <row r="99">
      <c r="A99" s="121"/>
      <c r="B99" s="124"/>
      <c r="C99" s="121"/>
      <c r="D99" s="121"/>
      <c r="E99" s="121"/>
      <c r="F99" s="121"/>
      <c r="G99" s="121"/>
      <c r="H99" s="91"/>
      <c r="I99" s="91"/>
      <c r="J99" s="91"/>
      <c r="K99" s="91"/>
      <c r="L99" s="91"/>
      <c r="M99" s="91"/>
      <c r="N99" s="91"/>
      <c r="O99" s="91"/>
      <c r="P99" s="91"/>
      <c r="Q99" s="91"/>
      <c r="R99" s="91"/>
      <c r="S99" s="91"/>
      <c r="T99" s="91"/>
      <c r="U99" s="91"/>
      <c r="V99" s="91"/>
      <c r="W99" s="91"/>
      <c r="X99" s="91"/>
      <c r="Y99" s="91"/>
      <c r="Z99" s="91"/>
    </row>
    <row r="100">
      <c r="A100" s="121"/>
      <c r="B100" s="124"/>
      <c r="C100" s="121"/>
      <c r="D100" s="121"/>
      <c r="E100" s="121"/>
      <c r="F100" s="121"/>
      <c r="G100" s="121"/>
      <c r="H100" s="91"/>
      <c r="I100" s="91"/>
      <c r="J100" s="91"/>
      <c r="K100" s="91"/>
      <c r="L100" s="91"/>
      <c r="M100" s="91"/>
      <c r="N100" s="91"/>
      <c r="O100" s="91"/>
      <c r="P100" s="91"/>
      <c r="Q100" s="91"/>
      <c r="R100" s="91"/>
      <c r="S100" s="91"/>
      <c r="T100" s="91"/>
      <c r="U100" s="91"/>
      <c r="V100" s="91"/>
      <c r="W100" s="91"/>
      <c r="X100" s="91"/>
      <c r="Y100" s="91"/>
      <c r="Z100" s="91"/>
    </row>
    <row r="101">
      <c r="A101" s="121"/>
      <c r="B101" s="122"/>
      <c r="C101" s="121"/>
      <c r="D101" s="121"/>
      <c r="E101" s="121"/>
      <c r="F101" s="121"/>
      <c r="G101" s="121"/>
      <c r="H101" s="91"/>
      <c r="I101" s="91"/>
      <c r="J101" s="91"/>
      <c r="K101" s="91"/>
      <c r="L101" s="91"/>
      <c r="M101" s="91"/>
      <c r="N101" s="91"/>
      <c r="O101" s="91"/>
      <c r="P101" s="91"/>
      <c r="Q101" s="91"/>
      <c r="R101" s="91"/>
      <c r="S101" s="91"/>
      <c r="T101" s="91"/>
      <c r="U101" s="91"/>
      <c r="V101" s="91"/>
      <c r="W101" s="91"/>
      <c r="X101" s="91"/>
      <c r="Y101" s="91"/>
      <c r="Z101" s="91"/>
    </row>
    <row r="102">
      <c r="A102" s="121"/>
      <c r="B102" s="122"/>
      <c r="C102" s="121"/>
      <c r="D102" s="121"/>
      <c r="E102" s="121"/>
      <c r="F102" s="121"/>
      <c r="G102" s="121"/>
      <c r="H102" s="91"/>
      <c r="I102" s="91"/>
      <c r="J102" s="91"/>
      <c r="K102" s="91"/>
      <c r="L102" s="91"/>
      <c r="M102" s="91"/>
      <c r="N102" s="91"/>
      <c r="O102" s="91"/>
      <c r="P102" s="91"/>
      <c r="Q102" s="91"/>
      <c r="R102" s="91"/>
      <c r="S102" s="91"/>
      <c r="T102" s="91"/>
      <c r="U102" s="91"/>
      <c r="V102" s="91"/>
      <c r="W102" s="91"/>
      <c r="X102" s="91"/>
      <c r="Y102" s="91"/>
      <c r="Z102" s="91"/>
    </row>
    <row r="103">
      <c r="A103" s="121"/>
      <c r="B103" s="123"/>
      <c r="C103" s="121"/>
      <c r="D103" s="121"/>
      <c r="E103" s="121"/>
      <c r="F103" s="121"/>
      <c r="G103" s="121"/>
      <c r="H103" s="91"/>
      <c r="I103" s="91"/>
      <c r="J103" s="91"/>
      <c r="K103" s="91"/>
      <c r="L103" s="91"/>
      <c r="M103" s="91"/>
      <c r="N103" s="91"/>
      <c r="O103" s="91"/>
      <c r="P103" s="91"/>
      <c r="Q103" s="91"/>
      <c r="R103" s="91"/>
      <c r="S103" s="91"/>
      <c r="T103" s="91"/>
      <c r="U103" s="91"/>
      <c r="V103" s="91"/>
      <c r="W103" s="91"/>
      <c r="X103" s="91"/>
      <c r="Y103" s="91"/>
      <c r="Z103" s="91"/>
    </row>
    <row r="104">
      <c r="A104" s="121"/>
      <c r="B104" s="123"/>
      <c r="C104" s="121"/>
      <c r="D104" s="121"/>
      <c r="E104" s="121"/>
      <c r="F104" s="121"/>
      <c r="G104" s="121"/>
      <c r="H104" s="91"/>
      <c r="I104" s="91"/>
      <c r="J104" s="91"/>
      <c r="K104" s="91"/>
      <c r="L104" s="91"/>
      <c r="M104" s="91"/>
      <c r="N104" s="91"/>
      <c r="O104" s="91"/>
      <c r="P104" s="91"/>
      <c r="Q104" s="91"/>
      <c r="R104" s="91"/>
      <c r="S104" s="91"/>
      <c r="T104" s="91"/>
      <c r="U104" s="91"/>
      <c r="V104" s="91"/>
      <c r="W104" s="91"/>
      <c r="X104" s="91"/>
      <c r="Y104" s="91"/>
      <c r="Z104" s="91"/>
    </row>
    <row r="105">
      <c r="A105" s="121"/>
      <c r="B105" s="122"/>
      <c r="C105" s="121"/>
      <c r="D105" s="121"/>
      <c r="E105" s="121"/>
      <c r="F105" s="121"/>
      <c r="G105" s="121"/>
      <c r="H105" s="91"/>
      <c r="I105" s="91"/>
      <c r="J105" s="91"/>
      <c r="K105" s="91"/>
      <c r="L105" s="91"/>
      <c r="M105" s="91"/>
      <c r="N105" s="91"/>
      <c r="O105" s="91"/>
      <c r="P105" s="91"/>
      <c r="Q105" s="91"/>
      <c r="R105" s="91"/>
      <c r="S105" s="91"/>
      <c r="T105" s="91"/>
      <c r="U105" s="91"/>
      <c r="V105" s="91"/>
      <c r="W105" s="91"/>
      <c r="X105" s="91"/>
      <c r="Y105" s="91"/>
      <c r="Z105" s="91"/>
    </row>
    <row r="106">
      <c r="A106" s="121"/>
      <c r="B106" s="122"/>
      <c r="C106" s="121"/>
      <c r="D106" s="121"/>
      <c r="E106" s="121"/>
      <c r="F106" s="121"/>
      <c r="G106" s="121"/>
      <c r="H106" s="91"/>
      <c r="I106" s="91"/>
      <c r="J106" s="91"/>
      <c r="K106" s="91"/>
      <c r="L106" s="91"/>
      <c r="M106" s="91"/>
      <c r="N106" s="91"/>
      <c r="O106" s="91"/>
      <c r="P106" s="91"/>
      <c r="Q106" s="91"/>
      <c r="R106" s="91"/>
      <c r="S106" s="91"/>
      <c r="T106" s="91"/>
      <c r="U106" s="91"/>
      <c r="V106" s="91"/>
      <c r="W106" s="91"/>
      <c r="X106" s="91"/>
      <c r="Y106" s="91"/>
      <c r="Z106" s="91"/>
    </row>
    <row r="107">
      <c r="A107" s="121"/>
      <c r="B107" s="122"/>
      <c r="C107" s="121"/>
      <c r="D107" s="121"/>
      <c r="E107" s="121"/>
      <c r="F107" s="121"/>
      <c r="G107" s="121"/>
      <c r="H107" s="91"/>
      <c r="I107" s="91"/>
      <c r="J107" s="91"/>
      <c r="K107" s="91"/>
      <c r="L107" s="91"/>
      <c r="M107" s="91"/>
      <c r="N107" s="91"/>
      <c r="O107" s="91"/>
      <c r="P107" s="91"/>
      <c r="Q107" s="91"/>
      <c r="R107" s="91"/>
      <c r="S107" s="91"/>
      <c r="T107" s="91"/>
      <c r="U107" s="91"/>
      <c r="V107" s="91"/>
      <c r="W107" s="91"/>
      <c r="X107" s="91"/>
      <c r="Y107" s="91"/>
      <c r="Z107" s="91"/>
    </row>
    <row r="108">
      <c r="A108" s="121"/>
      <c r="B108" s="125"/>
      <c r="C108" s="126"/>
      <c r="D108" s="121"/>
      <c r="E108" s="121"/>
      <c r="F108" s="126"/>
      <c r="G108" s="121"/>
      <c r="H108" s="91"/>
      <c r="I108" s="91"/>
      <c r="J108" s="91"/>
      <c r="K108" s="91"/>
      <c r="L108" s="91"/>
      <c r="M108" s="91"/>
      <c r="N108" s="91"/>
      <c r="O108" s="91"/>
      <c r="P108" s="91"/>
      <c r="Q108" s="91"/>
      <c r="R108" s="91"/>
      <c r="S108" s="91"/>
      <c r="T108" s="91"/>
      <c r="U108" s="91"/>
      <c r="V108" s="91"/>
      <c r="W108" s="91"/>
      <c r="X108" s="91"/>
      <c r="Y108" s="91"/>
      <c r="Z108" s="91"/>
    </row>
    <row r="109">
      <c r="A109" s="121"/>
      <c r="B109" s="125"/>
      <c r="C109" s="126"/>
      <c r="D109" s="121"/>
      <c r="E109" s="121"/>
      <c r="F109" s="126"/>
      <c r="G109" s="121"/>
      <c r="H109" s="91"/>
      <c r="I109" s="91"/>
      <c r="J109" s="91"/>
      <c r="K109" s="91"/>
      <c r="L109" s="91"/>
      <c r="M109" s="91"/>
      <c r="N109" s="91"/>
      <c r="O109" s="91"/>
      <c r="P109" s="91"/>
      <c r="Q109" s="91"/>
      <c r="R109" s="91"/>
      <c r="S109" s="91"/>
      <c r="T109" s="91"/>
      <c r="U109" s="91"/>
      <c r="V109" s="91"/>
      <c r="W109" s="91"/>
      <c r="X109" s="91"/>
      <c r="Y109" s="91"/>
      <c r="Z109" s="91"/>
    </row>
    <row r="110">
      <c r="A110" s="121"/>
      <c r="B110" s="125"/>
      <c r="C110" s="126"/>
      <c r="D110" s="121"/>
      <c r="E110" s="121"/>
      <c r="F110" s="121"/>
      <c r="G110" s="126"/>
      <c r="H110" s="91"/>
      <c r="I110" s="91"/>
      <c r="J110" s="91"/>
      <c r="K110" s="91"/>
      <c r="L110" s="91"/>
      <c r="M110" s="91"/>
      <c r="N110" s="91"/>
      <c r="O110" s="91"/>
      <c r="P110" s="91"/>
      <c r="Q110" s="91"/>
      <c r="R110" s="91"/>
      <c r="S110" s="91"/>
      <c r="T110" s="91"/>
      <c r="U110" s="91"/>
      <c r="V110" s="91"/>
      <c r="W110" s="91"/>
      <c r="X110" s="91"/>
      <c r="Y110" s="91"/>
      <c r="Z110" s="91"/>
    </row>
    <row r="111">
      <c r="A111" s="121"/>
      <c r="B111" s="125"/>
      <c r="C111" s="126"/>
      <c r="D111" s="121"/>
      <c r="E111" s="126"/>
      <c r="F111" s="121"/>
      <c r="G111" s="126"/>
      <c r="H111" s="91"/>
      <c r="I111" s="91"/>
      <c r="J111" s="91"/>
      <c r="K111" s="91"/>
      <c r="L111" s="91"/>
      <c r="M111" s="91"/>
      <c r="N111" s="91"/>
      <c r="O111" s="91"/>
      <c r="P111" s="91"/>
      <c r="Q111" s="91"/>
      <c r="R111" s="91"/>
      <c r="S111" s="91"/>
      <c r="T111" s="91"/>
      <c r="U111" s="91"/>
      <c r="V111" s="91"/>
      <c r="W111" s="91"/>
      <c r="X111" s="91"/>
      <c r="Y111" s="91"/>
      <c r="Z111" s="91"/>
    </row>
    <row r="112">
      <c r="A112" s="127"/>
      <c r="B112" s="125"/>
      <c r="C112" s="126"/>
      <c r="D112" s="126"/>
      <c r="E112" s="121"/>
      <c r="F112" s="121"/>
      <c r="G112" s="126"/>
      <c r="H112" s="91"/>
      <c r="I112" s="91"/>
      <c r="J112" s="91"/>
      <c r="K112" s="91"/>
      <c r="L112" s="91"/>
      <c r="M112" s="91"/>
      <c r="N112" s="91"/>
      <c r="O112" s="91"/>
      <c r="P112" s="91"/>
      <c r="Q112" s="91"/>
      <c r="R112" s="91"/>
      <c r="S112" s="91"/>
      <c r="T112" s="91"/>
      <c r="U112" s="91"/>
      <c r="V112" s="91"/>
      <c r="W112" s="91"/>
      <c r="X112" s="91"/>
      <c r="Y112" s="91"/>
      <c r="Z112" s="91"/>
    </row>
    <row r="113">
      <c r="A113" s="127"/>
      <c r="B113" s="125"/>
      <c r="C113" s="126"/>
      <c r="D113" s="126"/>
      <c r="E113" s="126"/>
      <c r="F113" s="126"/>
      <c r="G113" s="126"/>
      <c r="H113" s="91"/>
      <c r="I113" s="91"/>
      <c r="J113" s="91"/>
      <c r="K113" s="91"/>
      <c r="L113" s="91"/>
      <c r="M113" s="91"/>
      <c r="N113" s="91"/>
      <c r="O113" s="91"/>
      <c r="P113" s="91"/>
      <c r="Q113" s="91"/>
      <c r="R113" s="91"/>
      <c r="S113" s="91"/>
      <c r="T113" s="91"/>
      <c r="U113" s="91"/>
      <c r="V113" s="91"/>
      <c r="W113" s="91"/>
      <c r="X113" s="91"/>
      <c r="Y113" s="91"/>
      <c r="Z113" s="91"/>
    </row>
    <row r="114">
      <c r="A114" s="128"/>
      <c r="B114" s="129"/>
      <c r="C114" s="126"/>
      <c r="D114" s="126"/>
      <c r="E114" s="126"/>
      <c r="F114" s="126"/>
      <c r="G114" s="126"/>
      <c r="H114" s="91"/>
      <c r="I114" s="91"/>
      <c r="J114" s="91"/>
      <c r="K114" s="91"/>
      <c r="L114" s="91"/>
      <c r="M114" s="91"/>
      <c r="N114" s="91"/>
      <c r="O114" s="91"/>
      <c r="P114" s="91"/>
      <c r="Q114" s="91"/>
      <c r="R114" s="91"/>
      <c r="S114" s="91"/>
      <c r="T114" s="91"/>
      <c r="U114" s="91"/>
      <c r="V114" s="91"/>
      <c r="W114" s="91"/>
      <c r="X114" s="91"/>
      <c r="Y114" s="91"/>
      <c r="Z114" s="91"/>
    </row>
    <row r="115">
      <c r="A115" s="127"/>
      <c r="B115" s="125"/>
      <c r="C115" s="126"/>
      <c r="D115" s="126"/>
      <c r="E115" s="126"/>
      <c r="F115" s="126"/>
      <c r="G115" s="126"/>
      <c r="H115" s="91"/>
      <c r="I115" s="91"/>
      <c r="J115" s="91"/>
      <c r="K115" s="91"/>
      <c r="L115" s="91"/>
      <c r="M115" s="91"/>
      <c r="N115" s="91"/>
      <c r="O115" s="91"/>
      <c r="P115" s="91"/>
      <c r="Q115" s="91"/>
      <c r="R115" s="91"/>
      <c r="S115" s="91"/>
      <c r="T115" s="91"/>
      <c r="U115" s="91"/>
      <c r="V115" s="91"/>
      <c r="W115" s="91"/>
      <c r="X115" s="91"/>
      <c r="Y115" s="91"/>
      <c r="Z115" s="91"/>
    </row>
    <row r="116">
      <c r="A116" s="127"/>
      <c r="B116" s="125"/>
      <c r="C116" s="126"/>
      <c r="D116" s="126"/>
      <c r="E116" s="126"/>
      <c r="F116" s="126"/>
      <c r="G116" s="126"/>
      <c r="H116" s="91"/>
      <c r="I116" s="91"/>
      <c r="J116" s="91"/>
      <c r="K116" s="91"/>
      <c r="L116" s="91"/>
      <c r="M116" s="91"/>
      <c r="N116" s="91"/>
      <c r="O116" s="91"/>
      <c r="P116" s="91"/>
      <c r="Q116" s="91"/>
      <c r="R116" s="91"/>
      <c r="S116" s="91"/>
      <c r="T116" s="91"/>
      <c r="U116" s="91"/>
      <c r="V116" s="91"/>
      <c r="W116" s="91"/>
      <c r="X116" s="91"/>
      <c r="Y116" s="91"/>
      <c r="Z116" s="91"/>
    </row>
    <row r="117">
      <c r="A117" s="127"/>
      <c r="B117" s="125"/>
      <c r="C117" s="126"/>
      <c r="D117" s="126"/>
      <c r="E117" s="126"/>
      <c r="F117" s="126"/>
      <c r="G117" s="126"/>
      <c r="H117" s="91"/>
      <c r="I117" s="91"/>
      <c r="J117" s="91"/>
      <c r="K117" s="91"/>
      <c r="L117" s="91"/>
      <c r="M117" s="91"/>
      <c r="N117" s="91"/>
      <c r="O117" s="91"/>
      <c r="P117" s="91"/>
      <c r="Q117" s="91"/>
      <c r="R117" s="91"/>
      <c r="S117" s="91"/>
      <c r="T117" s="91"/>
      <c r="U117" s="91"/>
      <c r="V117" s="91"/>
      <c r="W117" s="91"/>
      <c r="X117" s="91"/>
      <c r="Y117" s="91"/>
      <c r="Z117" s="91"/>
    </row>
    <row r="118">
      <c r="A118" s="127"/>
      <c r="B118" s="125"/>
      <c r="C118" s="126"/>
      <c r="D118" s="126"/>
      <c r="E118" s="126"/>
      <c r="F118" s="126"/>
      <c r="G118" s="126"/>
      <c r="H118" s="91"/>
      <c r="I118" s="91"/>
      <c r="J118" s="91"/>
      <c r="K118" s="91"/>
      <c r="L118" s="91"/>
      <c r="M118" s="91"/>
      <c r="N118" s="91"/>
      <c r="O118" s="91"/>
      <c r="P118" s="91"/>
      <c r="Q118" s="91"/>
      <c r="R118" s="91"/>
      <c r="S118" s="91"/>
      <c r="T118" s="91"/>
      <c r="U118" s="91"/>
      <c r="V118" s="91"/>
      <c r="W118" s="91"/>
      <c r="X118" s="91"/>
      <c r="Y118" s="91"/>
      <c r="Z118" s="91"/>
    </row>
    <row r="119">
      <c r="A119" s="91"/>
      <c r="B119" s="130"/>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c r="A120" s="91"/>
      <c r="B120" s="130"/>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c r="A121" s="91"/>
      <c r="B121" s="130"/>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c r="A122" s="91"/>
      <c r="B122" s="130"/>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c r="A123" s="91"/>
      <c r="B123" s="130"/>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c r="A124" s="91"/>
      <c r="B124" s="130"/>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c r="A125" s="91"/>
      <c r="B125" s="130"/>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c r="A126" s="91"/>
      <c r="B126" s="130"/>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c r="A127" s="91"/>
      <c r="B127" s="130"/>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c r="A128" s="91"/>
      <c r="B128" s="130"/>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c r="A129" s="91"/>
      <c r="B129" s="130"/>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c r="A130" s="91"/>
      <c r="B130" s="130"/>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c r="A131" s="91"/>
      <c r="B131" s="130"/>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c r="A132" s="91"/>
      <c r="B132" s="130"/>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c r="A133" s="91"/>
      <c r="B133" s="130"/>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c r="A134" s="91"/>
      <c r="B134" s="130"/>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c r="A135" s="91"/>
      <c r="B135" s="130"/>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c r="A136" s="91"/>
      <c r="B136" s="130"/>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c r="A137" s="91"/>
      <c r="B137" s="130"/>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c r="A138" s="91"/>
      <c r="B138" s="130"/>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c r="A139" s="91"/>
      <c r="B139" s="130"/>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c r="A140" s="91"/>
      <c r="B140" s="130"/>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c r="A141" s="91"/>
      <c r="B141" s="130"/>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c r="A142" s="91"/>
      <c r="B142" s="130"/>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c r="A143" s="91"/>
      <c r="B143" s="130"/>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c r="A144" s="91"/>
      <c r="B144" s="130"/>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c r="A145" s="91"/>
      <c r="B145" s="130"/>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c r="A146" s="91"/>
      <c r="B146" s="130"/>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c r="A147" s="91"/>
      <c r="B147" s="130"/>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c r="A148" s="91"/>
      <c r="B148" s="130"/>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c r="A149" s="91"/>
      <c r="B149" s="130"/>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c r="A150" s="91"/>
      <c r="B150" s="130"/>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c r="A151" s="91"/>
      <c r="B151" s="130"/>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c r="A152" s="91"/>
      <c r="B152" s="130"/>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c r="A153" s="91"/>
      <c r="B153" s="130"/>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c r="A154" s="91"/>
      <c r="B154" s="130"/>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c r="A155" s="91"/>
      <c r="B155" s="130"/>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c r="A156" s="91"/>
      <c r="B156" s="130"/>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c r="A157" s="91"/>
      <c r="B157" s="130"/>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c r="A158" s="91"/>
      <c r="B158" s="130"/>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c r="A159" s="91"/>
      <c r="B159" s="130"/>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c r="A160" s="91"/>
      <c r="B160" s="130"/>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c r="A161" s="91"/>
      <c r="B161" s="130"/>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c r="A162" s="91"/>
      <c r="B162" s="130"/>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c r="A163" s="91"/>
      <c r="B163" s="130"/>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c r="A164" s="91"/>
      <c r="B164" s="130"/>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c r="A165" s="91"/>
      <c r="B165" s="130"/>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c r="A166" s="91"/>
      <c r="B166" s="130"/>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c r="A167" s="91"/>
      <c r="B167" s="130"/>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c r="A168" s="91"/>
      <c r="B168" s="130"/>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c r="A169" s="91"/>
      <c r="B169" s="130"/>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c r="A170" s="91"/>
      <c r="B170" s="130"/>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c r="A171" s="91"/>
      <c r="B171" s="130"/>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c r="A172" s="91"/>
      <c r="B172" s="130"/>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c r="A173" s="91"/>
      <c r="B173" s="130"/>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c r="A174" s="91"/>
      <c r="B174" s="130"/>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c r="A175" s="91"/>
      <c r="B175" s="130"/>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c r="A176" s="91"/>
      <c r="B176" s="130"/>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c r="A177" s="91"/>
      <c r="B177" s="130"/>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c r="A178" s="91"/>
      <c r="B178" s="130"/>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c r="A179" s="91"/>
      <c r="B179" s="130"/>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c r="A180" s="91"/>
      <c r="B180" s="130"/>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c r="A181" s="91"/>
      <c r="B181" s="130"/>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c r="A182" s="91"/>
      <c r="B182" s="130"/>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c r="A183" s="91"/>
      <c r="B183" s="130"/>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c r="A184" s="91"/>
      <c r="B184" s="130"/>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c r="A185" s="91"/>
      <c r="B185" s="130"/>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c r="A186" s="91"/>
      <c r="B186" s="130"/>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c r="A187" s="91"/>
      <c r="B187" s="130"/>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c r="A188" s="91"/>
      <c r="B188" s="130"/>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c r="A189" s="91"/>
      <c r="B189" s="130"/>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c r="A190" s="91"/>
      <c r="B190" s="130"/>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c r="A191" s="91"/>
      <c r="B191" s="130"/>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c r="A192" s="91"/>
      <c r="B192" s="130"/>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c r="A193" s="91"/>
      <c r="B193" s="130"/>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c r="A194" s="91"/>
      <c r="B194" s="130"/>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c r="A195" s="91"/>
      <c r="B195" s="130"/>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c r="A196" s="91"/>
      <c r="B196" s="130"/>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c r="A197" s="91"/>
      <c r="B197" s="130"/>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c r="A198" s="91"/>
      <c r="B198" s="130"/>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c r="A199" s="91"/>
      <c r="B199" s="130"/>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c r="A200" s="91"/>
      <c r="B200" s="130"/>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c r="A201" s="91"/>
      <c r="B201" s="130"/>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c r="A202" s="91"/>
      <c r="B202" s="130"/>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c r="A203" s="91"/>
      <c r="B203" s="130"/>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c r="A204" s="91"/>
      <c r="B204" s="130"/>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c r="A205" s="91"/>
      <c r="B205" s="130"/>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c r="A206" s="91"/>
      <c r="B206" s="130"/>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c r="A207" s="91"/>
      <c r="B207" s="130"/>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c r="A208" s="91"/>
      <c r="B208" s="130"/>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c r="A209" s="91"/>
      <c r="B209" s="130"/>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c r="A210" s="91"/>
      <c r="B210" s="130"/>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c r="A211" s="91"/>
      <c r="B211" s="130"/>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c r="A212" s="91"/>
      <c r="B212" s="130"/>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c r="A213" s="91"/>
      <c r="B213" s="130"/>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c r="A214" s="91"/>
      <c r="B214" s="130"/>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c r="A215" s="91"/>
      <c r="B215" s="130"/>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c r="A216" s="91"/>
      <c r="B216" s="130"/>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c r="A217" s="91"/>
      <c r="B217" s="130"/>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c r="A218" s="91"/>
      <c r="B218" s="130"/>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c r="A219" s="91"/>
      <c r="B219" s="130"/>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c r="A220" s="91"/>
      <c r="B220" s="130"/>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c r="A221" s="91"/>
      <c r="B221" s="130"/>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c r="A222" s="91"/>
      <c r="B222" s="130"/>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c r="A223" s="91"/>
      <c r="B223" s="130"/>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c r="A224" s="91"/>
      <c r="B224" s="130"/>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c r="A225" s="91"/>
      <c r="B225" s="130"/>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c r="A226" s="91"/>
      <c r="B226" s="130"/>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c r="A227" s="91"/>
      <c r="B227" s="130"/>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c r="A228" s="91"/>
      <c r="B228" s="130"/>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c r="A229" s="91"/>
      <c r="B229" s="130"/>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c r="A230" s="91"/>
      <c r="B230" s="130"/>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c r="A231" s="91"/>
      <c r="B231" s="130"/>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c r="A232" s="91"/>
      <c r="B232" s="130"/>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c r="A233" s="91"/>
      <c r="B233" s="130"/>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c r="A234" s="91"/>
      <c r="B234" s="130"/>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c r="A235" s="91"/>
      <c r="B235" s="130"/>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c r="A236" s="91"/>
      <c r="B236" s="130"/>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c r="A237" s="91"/>
      <c r="B237" s="130"/>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c r="A238" s="91"/>
      <c r="B238" s="130"/>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c r="A239" s="91"/>
      <c r="B239" s="130"/>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c r="A240" s="91"/>
      <c r="B240" s="130"/>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c r="A241" s="91"/>
      <c r="B241" s="130"/>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c r="A242" s="91"/>
      <c r="B242" s="130"/>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c r="A243" s="91"/>
      <c r="B243" s="130"/>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c r="A244" s="91"/>
      <c r="B244" s="130"/>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c r="A245" s="91"/>
      <c r="B245" s="130"/>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c r="A246" s="91"/>
      <c r="B246" s="130"/>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c r="A247" s="91"/>
      <c r="B247" s="130"/>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c r="A248" s="91"/>
      <c r="B248" s="130"/>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c r="A249" s="91"/>
      <c r="B249" s="130"/>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c r="A250" s="91"/>
      <c r="B250" s="130"/>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c r="A251" s="91"/>
      <c r="B251" s="130"/>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c r="A252" s="91"/>
      <c r="B252" s="130"/>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c r="A253" s="91"/>
      <c r="B253" s="130"/>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c r="A254" s="91"/>
      <c r="B254" s="130"/>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c r="A255" s="91"/>
      <c r="B255" s="130"/>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c r="A256" s="91"/>
      <c r="B256" s="130"/>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c r="A257" s="91"/>
      <c r="B257" s="130"/>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c r="A258" s="91"/>
      <c r="B258" s="130"/>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c r="A259" s="91"/>
      <c r="B259" s="130"/>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c r="A260" s="91"/>
      <c r="B260" s="130"/>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c r="A261" s="91"/>
      <c r="B261" s="130"/>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c r="A262" s="91"/>
      <c r="B262" s="130"/>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c r="A263" s="91"/>
      <c r="B263" s="130"/>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c r="A264" s="91"/>
      <c r="B264" s="130"/>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c r="A265" s="91"/>
      <c r="B265" s="130"/>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c r="A266" s="91"/>
      <c r="B266" s="130"/>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c r="A267" s="91"/>
      <c r="B267" s="130"/>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c r="A268" s="91"/>
      <c r="B268" s="130"/>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c r="A269" s="91"/>
      <c r="B269" s="130"/>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c r="A270" s="91"/>
      <c r="B270" s="130"/>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c r="A271" s="91"/>
      <c r="B271" s="130"/>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c r="A272" s="91"/>
      <c r="B272" s="130"/>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c r="A273" s="91"/>
      <c r="B273" s="130"/>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c r="A274" s="91"/>
      <c r="B274" s="130"/>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c r="A275" s="91"/>
      <c r="B275" s="130"/>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c r="A276" s="91"/>
      <c r="B276" s="130"/>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c r="A277" s="91"/>
      <c r="B277" s="130"/>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c r="A278" s="91"/>
      <c r="B278" s="130"/>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c r="A279" s="91"/>
      <c r="B279" s="130"/>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c r="A280" s="91"/>
      <c r="B280" s="130"/>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c r="A281" s="91"/>
      <c r="B281" s="130"/>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c r="A282" s="91"/>
      <c r="B282" s="130"/>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c r="A283" s="91"/>
      <c r="B283" s="130"/>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c r="A284" s="91"/>
      <c r="B284" s="130"/>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c r="A285" s="91"/>
      <c r="B285" s="130"/>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c r="A286" s="91"/>
      <c r="B286" s="130"/>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c r="A287" s="91"/>
      <c r="B287" s="130"/>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c r="A288" s="91"/>
      <c r="B288" s="130"/>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c r="A289" s="91"/>
      <c r="B289" s="130"/>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c r="A290" s="91"/>
      <c r="B290" s="130"/>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c r="A291" s="91"/>
      <c r="B291" s="130"/>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c r="A292" s="91"/>
      <c r="B292" s="130"/>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c r="A293" s="91"/>
      <c r="B293" s="130"/>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c r="A294" s="91"/>
      <c r="B294" s="130"/>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c r="A295" s="91"/>
      <c r="B295" s="130"/>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c r="A296" s="91"/>
      <c r="B296" s="130"/>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c r="A297" s="91"/>
      <c r="B297" s="130"/>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c r="A298" s="91"/>
      <c r="B298" s="130"/>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c r="A299" s="91"/>
      <c r="B299" s="130"/>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c r="A300" s="91"/>
      <c r="B300" s="130"/>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c r="A301" s="91"/>
      <c r="B301" s="130"/>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c r="A302" s="91"/>
      <c r="B302" s="130"/>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c r="A303" s="91"/>
      <c r="B303" s="130"/>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c r="A304" s="91"/>
      <c r="B304" s="130"/>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c r="A305" s="91"/>
      <c r="B305" s="130"/>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c r="A306" s="91"/>
      <c r="B306" s="130"/>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c r="A307" s="91"/>
      <c r="B307" s="130"/>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c r="A308" s="91"/>
      <c r="B308" s="130"/>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c r="A309" s="91"/>
      <c r="B309" s="130"/>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c r="A310" s="91"/>
      <c r="B310" s="130"/>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c r="A311" s="91"/>
      <c r="B311" s="130"/>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c r="A312" s="91"/>
      <c r="B312" s="130"/>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c r="A313" s="91"/>
      <c r="B313" s="130"/>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c r="A314" s="91"/>
      <c r="B314" s="130"/>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c r="A315" s="91"/>
      <c r="B315" s="130"/>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c r="A316" s="91"/>
      <c r="B316" s="130"/>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c r="A317" s="91"/>
      <c r="B317" s="130"/>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c r="A318" s="91"/>
      <c r="B318" s="130"/>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c r="A319" s="91"/>
      <c r="B319" s="130"/>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c r="A320" s="91"/>
      <c r="B320" s="130"/>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c r="A321" s="91"/>
      <c r="B321" s="130"/>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c r="A322" s="91"/>
      <c r="B322" s="130"/>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c r="A323" s="91"/>
      <c r="B323" s="130"/>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c r="A324" s="91"/>
      <c r="B324" s="130"/>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c r="A325" s="91"/>
      <c r="B325" s="130"/>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c r="A326" s="91"/>
      <c r="B326" s="130"/>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c r="A327" s="91"/>
      <c r="B327" s="130"/>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c r="A328" s="91"/>
      <c r="B328" s="130"/>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c r="A329" s="91"/>
      <c r="B329" s="130"/>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c r="A330" s="91"/>
      <c r="B330" s="130"/>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c r="A331" s="91"/>
      <c r="B331" s="130"/>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c r="A332" s="91"/>
      <c r="B332" s="130"/>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c r="A333" s="91"/>
      <c r="B333" s="130"/>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c r="A334" s="91"/>
      <c r="B334" s="130"/>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c r="A335" s="91"/>
      <c r="B335" s="130"/>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c r="A336" s="91"/>
      <c r="B336" s="130"/>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c r="A337" s="91"/>
      <c r="B337" s="130"/>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c r="A338" s="91"/>
      <c r="B338" s="130"/>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c r="A339" s="91"/>
      <c r="B339" s="130"/>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c r="A340" s="91"/>
      <c r="B340" s="130"/>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c r="A341" s="91"/>
      <c r="B341" s="130"/>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c r="A342" s="91"/>
      <c r="B342" s="130"/>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c r="A343" s="91"/>
      <c r="B343" s="130"/>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c r="A344" s="91"/>
      <c r="B344" s="130"/>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c r="A345" s="91"/>
      <c r="B345" s="130"/>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c r="A346" s="91"/>
      <c r="B346" s="130"/>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c r="A347" s="91"/>
      <c r="B347" s="130"/>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c r="A348" s="91"/>
      <c r="B348" s="130"/>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c r="A349" s="91"/>
      <c r="B349" s="130"/>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c r="A350" s="91"/>
      <c r="B350" s="130"/>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c r="A351" s="91"/>
      <c r="B351" s="130"/>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c r="A352" s="91"/>
      <c r="B352" s="130"/>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c r="A353" s="91"/>
      <c r="B353" s="130"/>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c r="A354" s="91"/>
      <c r="B354" s="130"/>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c r="A355" s="91"/>
      <c r="B355" s="130"/>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c r="A356" s="91"/>
      <c r="B356" s="130"/>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c r="A357" s="91"/>
      <c r="B357" s="130"/>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c r="A358" s="91"/>
      <c r="B358" s="130"/>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c r="A359" s="91"/>
      <c r="B359" s="130"/>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c r="A360" s="91"/>
      <c r="B360" s="130"/>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c r="A361" s="91"/>
      <c r="B361" s="130"/>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c r="A362" s="91"/>
      <c r="B362" s="130"/>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c r="A363" s="91"/>
      <c r="B363" s="130"/>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c r="A364" s="91"/>
      <c r="B364" s="130"/>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c r="A365" s="91"/>
      <c r="B365" s="130"/>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c r="A366" s="91"/>
      <c r="B366" s="130"/>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c r="A367" s="91"/>
      <c r="B367" s="130"/>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c r="A368" s="91"/>
      <c r="B368" s="130"/>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c r="A369" s="91"/>
      <c r="B369" s="130"/>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c r="A370" s="91"/>
      <c r="B370" s="130"/>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c r="A371" s="91"/>
      <c r="B371" s="130"/>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c r="A372" s="91"/>
      <c r="B372" s="130"/>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c r="A373" s="91"/>
      <c r="B373" s="130"/>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c r="A374" s="91"/>
      <c r="B374" s="130"/>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c r="A375" s="91"/>
      <c r="B375" s="130"/>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c r="A376" s="91"/>
      <c r="B376" s="130"/>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c r="A377" s="91"/>
      <c r="B377" s="130"/>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c r="A378" s="91"/>
      <c r="B378" s="130"/>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c r="A379" s="91"/>
      <c r="B379" s="130"/>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c r="A380" s="91"/>
      <c r="B380" s="130"/>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c r="A381" s="91"/>
      <c r="B381" s="130"/>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c r="A382" s="91"/>
      <c r="B382" s="130"/>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c r="A383" s="91"/>
      <c r="B383" s="130"/>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c r="A384" s="91"/>
      <c r="B384" s="130"/>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c r="A385" s="91"/>
      <c r="B385" s="130"/>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c r="A386" s="91"/>
      <c r="B386" s="130"/>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c r="A387" s="91"/>
      <c r="B387" s="130"/>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c r="A388" s="91"/>
      <c r="B388" s="130"/>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c r="A389" s="91"/>
      <c r="B389" s="130"/>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c r="A390" s="91"/>
      <c r="B390" s="130"/>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c r="A391" s="91"/>
      <c r="B391" s="130"/>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c r="A392" s="91"/>
      <c r="B392" s="130"/>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c r="A393" s="91"/>
      <c r="B393" s="130"/>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c r="A394" s="91"/>
      <c r="B394" s="130"/>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c r="A395" s="91"/>
      <c r="B395" s="130"/>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c r="A396" s="91"/>
      <c r="B396" s="130"/>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c r="A397" s="91"/>
      <c r="B397" s="130"/>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c r="A398" s="91"/>
      <c r="B398" s="130"/>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c r="A399" s="91"/>
      <c r="B399" s="130"/>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c r="A400" s="91"/>
      <c r="B400" s="130"/>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c r="A401" s="91"/>
      <c r="B401" s="130"/>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c r="A402" s="91"/>
      <c r="B402" s="130"/>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c r="A403" s="91"/>
      <c r="B403" s="130"/>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c r="A404" s="91"/>
      <c r="B404" s="130"/>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c r="A405" s="91"/>
      <c r="B405" s="130"/>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c r="A406" s="91"/>
      <c r="B406" s="130"/>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c r="A407" s="91"/>
      <c r="B407" s="130"/>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c r="A408" s="91"/>
      <c r="B408" s="130"/>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c r="A409" s="91"/>
      <c r="B409" s="130"/>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c r="A410" s="91"/>
      <c r="B410" s="130"/>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c r="A411" s="91"/>
      <c r="B411" s="130"/>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c r="A412" s="91"/>
      <c r="B412" s="130"/>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c r="A413" s="91"/>
      <c r="B413" s="130"/>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c r="A414" s="91"/>
      <c r="B414" s="130"/>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c r="A415" s="91"/>
      <c r="B415" s="130"/>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c r="A416" s="91"/>
      <c r="B416" s="130"/>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c r="A417" s="91"/>
      <c r="B417" s="130"/>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c r="A418" s="91"/>
      <c r="B418" s="130"/>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c r="A419" s="91"/>
      <c r="B419" s="130"/>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c r="A420" s="91"/>
      <c r="B420" s="130"/>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c r="A421" s="91"/>
      <c r="B421" s="130"/>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c r="A422" s="91"/>
      <c r="B422" s="130"/>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c r="A423" s="91"/>
      <c r="B423" s="130"/>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c r="A424" s="91"/>
      <c r="B424" s="130"/>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c r="A425" s="91"/>
      <c r="B425" s="130"/>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c r="A426" s="91"/>
      <c r="B426" s="130"/>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c r="A427" s="91"/>
      <c r="B427" s="130"/>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c r="A428" s="91"/>
      <c r="B428" s="130"/>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c r="A429" s="91"/>
      <c r="B429" s="130"/>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c r="A430" s="91"/>
      <c r="B430" s="130"/>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c r="A431" s="91"/>
      <c r="B431" s="130"/>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c r="A432" s="91"/>
      <c r="B432" s="130"/>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c r="A433" s="91"/>
      <c r="B433" s="130"/>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c r="A434" s="91"/>
      <c r="B434" s="130"/>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c r="A435" s="91"/>
      <c r="B435" s="130"/>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c r="A436" s="91"/>
      <c r="B436" s="130"/>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c r="A437" s="91"/>
      <c r="B437" s="130"/>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c r="A438" s="91"/>
      <c r="B438" s="130"/>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c r="A439" s="91"/>
      <c r="B439" s="130"/>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c r="A440" s="91"/>
      <c r="B440" s="130"/>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c r="A441" s="91"/>
      <c r="B441" s="130"/>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c r="A442" s="91"/>
      <c r="B442" s="130"/>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c r="A443" s="91"/>
      <c r="B443" s="130"/>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c r="A444" s="91"/>
      <c r="B444" s="130"/>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c r="A445" s="91"/>
      <c r="B445" s="130"/>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c r="A446" s="91"/>
      <c r="B446" s="130"/>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c r="A447" s="91"/>
      <c r="B447" s="130"/>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c r="A448" s="91"/>
      <c r="B448" s="130"/>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c r="A449" s="91"/>
      <c r="B449" s="130"/>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c r="A450" s="91"/>
      <c r="B450" s="130"/>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c r="A451" s="91"/>
      <c r="B451" s="130"/>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c r="A452" s="91"/>
      <c r="B452" s="130"/>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c r="A453" s="91"/>
      <c r="B453" s="130"/>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c r="A454" s="91"/>
      <c r="B454" s="130"/>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c r="A455" s="91"/>
      <c r="B455" s="130"/>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c r="A456" s="91"/>
      <c r="B456" s="130"/>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c r="A457" s="91"/>
      <c r="B457" s="130"/>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c r="A458" s="91"/>
      <c r="B458" s="130"/>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c r="A459" s="91"/>
      <c r="B459" s="130"/>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c r="A460" s="91"/>
      <c r="B460" s="130"/>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c r="A461" s="91"/>
      <c r="B461" s="130"/>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c r="A462" s="91"/>
      <c r="B462" s="130"/>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c r="A463" s="91"/>
      <c r="B463" s="130"/>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c r="A464" s="91"/>
      <c r="B464" s="130"/>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c r="A465" s="91"/>
      <c r="B465" s="130"/>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c r="A466" s="91"/>
      <c r="B466" s="130"/>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c r="A467" s="91"/>
      <c r="B467" s="130"/>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c r="A468" s="91"/>
      <c r="B468" s="130"/>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c r="A469" s="91"/>
      <c r="B469" s="130"/>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c r="A470" s="91"/>
      <c r="B470" s="130"/>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c r="A471" s="91"/>
      <c r="B471" s="130"/>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c r="A472" s="91"/>
      <c r="B472" s="130"/>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c r="A473" s="91"/>
      <c r="B473" s="130"/>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c r="A474" s="91"/>
      <c r="B474" s="130"/>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c r="A475" s="91"/>
      <c r="B475" s="130"/>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c r="A476" s="91"/>
      <c r="B476" s="130"/>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c r="A477" s="91"/>
      <c r="B477" s="130"/>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c r="A478" s="91"/>
      <c r="B478" s="130"/>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c r="A479" s="91"/>
      <c r="B479" s="130"/>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c r="A480" s="91"/>
      <c r="B480" s="130"/>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c r="A481" s="91"/>
      <c r="B481" s="130"/>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c r="A482" s="91"/>
      <c r="B482" s="130"/>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c r="A483" s="91"/>
      <c r="B483" s="130"/>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c r="A484" s="91"/>
      <c r="B484" s="130"/>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c r="A485" s="91"/>
      <c r="B485" s="130"/>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c r="A486" s="91"/>
      <c r="B486" s="130"/>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c r="A487" s="91"/>
      <c r="B487" s="130"/>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c r="A488" s="91"/>
      <c r="B488" s="130"/>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c r="A489" s="91"/>
      <c r="B489" s="130"/>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c r="A490" s="91"/>
      <c r="B490" s="130"/>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c r="A491" s="91"/>
      <c r="B491" s="130"/>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c r="A492" s="91"/>
      <c r="B492" s="130"/>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c r="A493" s="91"/>
      <c r="B493" s="130"/>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c r="A494" s="91"/>
      <c r="B494" s="130"/>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c r="A495" s="91"/>
      <c r="B495" s="130"/>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c r="A496" s="91"/>
      <c r="B496" s="130"/>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c r="A497" s="91"/>
      <c r="B497" s="130"/>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c r="A498" s="91"/>
      <c r="B498" s="130"/>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c r="A499" s="91"/>
      <c r="B499" s="130"/>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c r="A500" s="91"/>
      <c r="B500" s="130"/>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c r="A501" s="91"/>
      <c r="B501" s="130"/>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c r="A502" s="91"/>
      <c r="B502" s="130"/>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c r="A503" s="91"/>
      <c r="B503" s="130"/>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c r="A504" s="91"/>
      <c r="B504" s="130"/>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c r="A505" s="91"/>
      <c r="B505" s="130"/>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c r="A506" s="91"/>
      <c r="B506" s="130"/>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c r="A507" s="91"/>
      <c r="B507" s="130"/>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c r="A508" s="91"/>
      <c r="B508" s="130"/>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c r="A509" s="91"/>
      <c r="B509" s="130"/>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c r="A510" s="91"/>
      <c r="B510" s="130"/>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c r="A511" s="91"/>
      <c r="B511" s="130"/>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c r="A512" s="91"/>
      <c r="B512" s="130"/>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c r="A513" s="91"/>
      <c r="B513" s="130"/>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c r="A514" s="91"/>
      <c r="B514" s="130"/>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c r="A515" s="91"/>
      <c r="B515" s="130"/>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c r="A516" s="91"/>
      <c r="B516" s="130"/>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c r="A517" s="91"/>
      <c r="B517" s="130"/>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c r="A518" s="91"/>
      <c r="B518" s="130"/>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c r="A519" s="91"/>
      <c r="B519" s="130"/>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c r="A520" s="91"/>
      <c r="B520" s="130"/>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c r="A521" s="91"/>
      <c r="B521" s="130"/>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c r="A522" s="91"/>
      <c r="B522" s="130"/>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c r="A523" s="91"/>
      <c r="B523" s="130"/>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c r="A524" s="91"/>
      <c r="B524" s="130"/>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c r="A525" s="91"/>
      <c r="B525" s="130"/>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c r="A526" s="91"/>
      <c r="B526" s="130"/>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c r="A527" s="91"/>
      <c r="B527" s="130"/>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c r="A528" s="91"/>
      <c r="B528" s="130"/>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c r="A529" s="91"/>
      <c r="B529" s="130"/>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c r="A530" s="91"/>
      <c r="B530" s="130"/>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c r="A531" s="91"/>
      <c r="B531" s="130"/>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c r="A532" s="91"/>
      <c r="B532" s="130"/>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c r="A533" s="91"/>
      <c r="B533" s="130"/>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c r="A534" s="91"/>
      <c r="B534" s="130"/>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c r="A535" s="91"/>
      <c r="B535" s="130"/>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c r="A536" s="91"/>
      <c r="B536" s="130"/>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c r="A537" s="91"/>
      <c r="B537" s="130"/>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c r="A538" s="91"/>
      <c r="B538" s="130"/>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c r="A539" s="91"/>
      <c r="B539" s="130"/>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c r="A540" s="91"/>
      <c r="B540" s="130"/>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c r="A541" s="91"/>
      <c r="B541" s="130"/>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c r="A542" s="91"/>
      <c r="B542" s="130"/>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c r="A543" s="91"/>
      <c r="B543" s="130"/>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c r="A544" s="91"/>
      <c r="B544" s="130"/>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c r="A545" s="91"/>
      <c r="B545" s="130"/>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c r="A546" s="91"/>
      <c r="B546" s="130"/>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c r="A547" s="91"/>
      <c r="B547" s="130"/>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c r="A548" s="91"/>
      <c r="B548" s="130"/>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c r="A549" s="91"/>
      <c r="B549" s="130"/>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c r="A550" s="91"/>
      <c r="B550" s="130"/>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c r="A551" s="91"/>
      <c r="B551" s="130"/>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c r="A552" s="91"/>
      <c r="B552" s="130"/>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c r="A553" s="91"/>
      <c r="B553" s="130"/>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c r="A554" s="91"/>
      <c r="B554" s="130"/>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c r="A555" s="91"/>
      <c r="B555" s="130"/>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c r="A556" s="91"/>
      <c r="B556" s="130"/>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c r="A557" s="91"/>
      <c r="B557" s="130"/>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c r="A558" s="91"/>
      <c r="B558" s="130"/>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c r="A559" s="91"/>
      <c r="B559" s="130"/>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c r="A560" s="91"/>
      <c r="B560" s="130"/>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c r="A561" s="91"/>
      <c r="B561" s="130"/>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c r="A562" s="91"/>
      <c r="B562" s="130"/>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c r="A563" s="91"/>
      <c r="B563" s="130"/>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c r="A564" s="91"/>
      <c r="B564" s="130"/>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c r="A565" s="91"/>
      <c r="B565" s="130"/>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c r="A566" s="91"/>
      <c r="B566" s="130"/>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c r="A567" s="91"/>
      <c r="B567" s="130"/>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c r="A568" s="91"/>
      <c r="B568" s="130"/>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c r="A569" s="91"/>
      <c r="B569" s="130"/>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c r="A570" s="91"/>
      <c r="B570" s="130"/>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c r="A571" s="91"/>
      <c r="B571" s="130"/>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c r="A572" s="91"/>
      <c r="B572" s="130"/>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c r="A573" s="91"/>
      <c r="B573" s="130"/>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c r="A574" s="91"/>
      <c r="B574" s="130"/>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c r="A575" s="91"/>
      <c r="B575" s="130"/>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c r="A576" s="91"/>
      <c r="B576" s="130"/>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c r="A577" s="91"/>
      <c r="B577" s="130"/>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c r="A578" s="91"/>
      <c r="B578" s="130"/>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c r="A579" s="91"/>
      <c r="B579" s="130"/>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c r="A580" s="91"/>
      <c r="B580" s="130"/>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c r="A581" s="91"/>
      <c r="B581" s="130"/>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c r="A582" s="91"/>
      <c r="B582" s="130"/>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c r="A583" s="91"/>
      <c r="B583" s="130"/>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c r="A584" s="91"/>
      <c r="B584" s="130"/>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c r="A585" s="91"/>
      <c r="B585" s="130"/>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c r="A586" s="91"/>
      <c r="B586" s="130"/>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c r="A587" s="91"/>
      <c r="B587" s="130"/>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c r="A588" s="91"/>
      <c r="B588" s="130"/>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c r="A589" s="91"/>
      <c r="B589" s="130"/>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c r="A590" s="91"/>
      <c r="B590" s="130"/>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c r="A591" s="91"/>
      <c r="B591" s="130"/>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c r="A592" s="91"/>
      <c r="B592" s="130"/>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c r="A593" s="91"/>
      <c r="B593" s="130"/>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c r="A594" s="91"/>
      <c r="B594" s="130"/>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c r="A595" s="91"/>
      <c r="B595" s="130"/>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c r="A596" s="91"/>
      <c r="B596" s="130"/>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c r="A597" s="91"/>
      <c r="B597" s="130"/>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c r="A598" s="91"/>
      <c r="B598" s="130"/>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c r="A599" s="91"/>
      <c r="B599" s="130"/>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c r="A600" s="91"/>
      <c r="B600" s="130"/>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c r="A601" s="91"/>
      <c r="B601" s="130"/>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c r="A602" s="91"/>
      <c r="B602" s="130"/>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c r="A603" s="91"/>
      <c r="B603" s="130"/>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c r="A604" s="91"/>
      <c r="B604" s="130"/>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c r="A605" s="91"/>
      <c r="B605" s="130"/>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c r="A606" s="91"/>
      <c r="B606" s="130"/>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c r="A607" s="91"/>
      <c r="B607" s="130"/>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c r="A608" s="91"/>
      <c r="B608" s="130"/>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c r="A609" s="91"/>
      <c r="B609" s="130"/>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c r="A610" s="91"/>
      <c r="B610" s="130"/>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c r="A611" s="91"/>
      <c r="B611" s="130"/>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c r="A612" s="91"/>
      <c r="B612" s="130"/>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c r="A613" s="91"/>
      <c r="B613" s="130"/>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c r="A614" s="91"/>
      <c r="B614" s="130"/>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c r="A615" s="91"/>
      <c r="B615" s="130"/>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c r="A616" s="91"/>
      <c r="B616" s="130"/>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c r="A617" s="91"/>
      <c r="B617" s="130"/>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c r="A618" s="91"/>
      <c r="B618" s="130"/>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c r="A619" s="91"/>
      <c r="B619" s="130"/>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c r="A620" s="91"/>
      <c r="B620" s="130"/>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c r="A621" s="91"/>
      <c r="B621" s="130"/>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c r="A622" s="91"/>
      <c r="B622" s="130"/>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c r="A623" s="91"/>
      <c r="B623" s="130"/>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c r="A624" s="91"/>
      <c r="B624" s="130"/>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c r="A625" s="91"/>
      <c r="B625" s="130"/>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c r="A626" s="91"/>
      <c r="B626" s="130"/>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c r="A627" s="91"/>
      <c r="B627" s="130"/>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c r="A628" s="91"/>
      <c r="B628" s="130"/>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c r="A629" s="91"/>
      <c r="B629" s="130"/>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c r="A630" s="91"/>
      <c r="B630" s="130"/>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c r="A631" s="91"/>
      <c r="B631" s="130"/>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c r="A632" s="91"/>
      <c r="B632" s="130"/>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c r="A633" s="91"/>
      <c r="B633" s="130"/>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c r="A634" s="91"/>
      <c r="B634" s="130"/>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c r="A635" s="91"/>
      <c r="B635" s="130"/>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c r="A636" s="91"/>
      <c r="B636" s="130"/>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c r="A637" s="91"/>
      <c r="B637" s="130"/>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c r="A638" s="91"/>
      <c r="B638" s="130"/>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c r="A639" s="91"/>
      <c r="B639" s="130"/>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c r="A640" s="91"/>
      <c r="B640" s="130"/>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c r="A641" s="91"/>
      <c r="B641" s="130"/>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c r="A642" s="91"/>
      <c r="B642" s="130"/>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c r="A643" s="91"/>
      <c r="B643" s="130"/>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c r="A644" s="91"/>
      <c r="B644" s="130"/>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c r="A645" s="91"/>
      <c r="B645" s="130"/>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c r="A646" s="91"/>
      <c r="B646" s="130"/>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c r="A647" s="91"/>
      <c r="B647" s="130"/>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c r="A648" s="91"/>
      <c r="B648" s="130"/>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c r="A649" s="91"/>
      <c r="B649" s="130"/>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c r="A650" s="91"/>
      <c r="B650" s="130"/>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c r="A651" s="91"/>
      <c r="B651" s="130"/>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c r="A652" s="91"/>
      <c r="B652" s="130"/>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c r="A653" s="91"/>
      <c r="B653" s="130"/>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c r="A654" s="91"/>
      <c r="B654" s="130"/>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c r="A655" s="91"/>
      <c r="B655" s="130"/>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c r="A656" s="91"/>
      <c r="B656" s="130"/>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c r="A657" s="91"/>
      <c r="B657" s="130"/>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c r="A658" s="91"/>
      <c r="B658" s="130"/>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c r="A659" s="91"/>
      <c r="B659" s="130"/>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c r="A660" s="91"/>
      <c r="B660" s="130"/>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c r="A661" s="91"/>
      <c r="B661" s="130"/>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c r="A662" s="91"/>
      <c r="B662" s="130"/>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c r="A663" s="91"/>
      <c r="B663" s="130"/>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c r="A664" s="91"/>
      <c r="B664" s="130"/>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c r="A665" s="91"/>
      <c r="B665" s="130"/>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c r="A666" s="91"/>
      <c r="B666" s="130"/>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c r="A667" s="91"/>
      <c r="B667" s="130"/>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c r="A668" s="91"/>
      <c r="B668" s="130"/>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c r="A669" s="91"/>
      <c r="B669" s="130"/>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c r="A670" s="91"/>
      <c r="B670" s="130"/>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c r="A671" s="91"/>
      <c r="B671" s="130"/>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c r="A672" s="91"/>
      <c r="B672" s="130"/>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c r="A673" s="91"/>
      <c r="B673" s="130"/>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c r="A674" s="91"/>
      <c r="B674" s="130"/>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c r="A675" s="91"/>
      <c r="B675" s="130"/>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c r="A676" s="91"/>
      <c r="B676" s="130"/>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c r="A677" s="91"/>
      <c r="B677" s="130"/>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c r="A678" s="91"/>
      <c r="B678" s="130"/>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c r="A679" s="91"/>
      <c r="B679" s="130"/>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c r="A680" s="91"/>
      <c r="B680" s="130"/>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c r="A681" s="91"/>
      <c r="B681" s="130"/>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c r="A682" s="91"/>
      <c r="B682" s="130"/>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c r="A683" s="91"/>
      <c r="B683" s="130"/>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c r="A684" s="91"/>
      <c r="B684" s="130"/>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c r="A685" s="91"/>
      <c r="B685" s="130"/>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c r="A686" s="91"/>
      <c r="B686" s="130"/>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c r="A687" s="91"/>
      <c r="B687" s="130"/>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c r="A688" s="91"/>
      <c r="B688" s="130"/>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c r="A689" s="91"/>
      <c r="B689" s="130"/>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c r="A690" s="91"/>
      <c r="B690" s="130"/>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c r="A691" s="91"/>
      <c r="B691" s="130"/>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c r="A692" s="91"/>
      <c r="B692" s="130"/>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c r="A693" s="91"/>
      <c r="B693" s="130"/>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c r="A694" s="91"/>
      <c r="B694" s="130"/>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c r="A695" s="91"/>
      <c r="B695" s="130"/>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c r="A696" s="91"/>
      <c r="B696" s="130"/>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c r="A697" s="91"/>
      <c r="B697" s="130"/>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c r="A698" s="91"/>
      <c r="B698" s="130"/>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c r="A699" s="91"/>
      <c r="B699" s="130"/>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c r="A700" s="91"/>
      <c r="B700" s="130"/>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c r="A701" s="91"/>
      <c r="B701" s="130"/>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c r="A702" s="91"/>
      <c r="B702" s="130"/>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c r="A703" s="91"/>
      <c r="B703" s="130"/>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c r="A704" s="91"/>
      <c r="B704" s="130"/>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c r="A705" s="91"/>
      <c r="B705" s="130"/>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c r="A706" s="91"/>
      <c r="B706" s="130"/>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c r="A707" s="91"/>
      <c r="B707" s="130"/>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c r="A708" s="91"/>
      <c r="B708" s="130"/>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c r="A709" s="91"/>
      <c r="B709" s="130"/>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c r="A710" s="91"/>
      <c r="B710" s="130"/>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c r="A711" s="91"/>
      <c r="B711" s="130"/>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c r="A712" s="91"/>
      <c r="B712" s="130"/>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c r="A713" s="91"/>
      <c r="B713" s="130"/>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c r="A714" s="91"/>
      <c r="B714" s="130"/>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c r="A715" s="91"/>
      <c r="B715" s="130"/>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c r="A716" s="91"/>
      <c r="B716" s="130"/>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c r="A717" s="91"/>
      <c r="B717" s="130"/>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c r="A718" s="91"/>
      <c r="B718" s="130"/>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c r="A719" s="91"/>
      <c r="B719" s="130"/>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c r="A720" s="91"/>
      <c r="B720" s="130"/>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c r="A721" s="91"/>
      <c r="B721" s="130"/>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c r="A722" s="91"/>
      <c r="B722" s="130"/>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c r="A723" s="91"/>
      <c r="B723" s="130"/>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c r="A724" s="91"/>
      <c r="B724" s="130"/>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c r="A725" s="91"/>
      <c r="B725" s="130"/>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c r="A726" s="91"/>
      <c r="B726" s="130"/>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c r="A727" s="91"/>
      <c r="B727" s="130"/>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c r="A728" s="91"/>
      <c r="B728" s="130"/>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c r="A729" s="91"/>
      <c r="B729" s="130"/>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c r="A730" s="91"/>
      <c r="B730" s="130"/>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c r="A731" s="91"/>
      <c r="B731" s="130"/>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c r="A732" s="91"/>
      <c r="B732" s="130"/>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c r="A733" s="91"/>
      <c r="B733" s="130"/>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c r="A734" s="91"/>
      <c r="B734" s="130"/>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c r="A735" s="91"/>
      <c r="B735" s="130"/>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c r="A736" s="91"/>
      <c r="B736" s="130"/>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c r="A737" s="91"/>
      <c r="B737" s="130"/>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c r="A738" s="91"/>
      <c r="B738" s="130"/>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c r="A739" s="91"/>
      <c r="B739" s="130"/>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c r="A740" s="91"/>
      <c r="B740" s="130"/>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c r="A741" s="91"/>
      <c r="B741" s="130"/>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c r="A742" s="91"/>
      <c r="B742" s="130"/>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c r="A743" s="91"/>
      <c r="B743" s="130"/>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c r="A744" s="91"/>
      <c r="B744" s="130"/>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c r="A745" s="91"/>
      <c r="B745" s="130"/>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c r="A746" s="91"/>
      <c r="B746" s="130"/>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c r="A747" s="91"/>
      <c r="B747" s="130"/>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c r="A748" s="91"/>
      <c r="B748" s="130"/>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c r="A749" s="91"/>
      <c r="B749" s="130"/>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c r="A750" s="91"/>
      <c r="B750" s="130"/>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c r="A751" s="91"/>
      <c r="B751" s="130"/>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c r="A752" s="91"/>
      <c r="B752" s="130"/>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c r="A753" s="91"/>
      <c r="B753" s="130"/>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c r="A754" s="91"/>
      <c r="B754" s="130"/>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c r="A755" s="91"/>
      <c r="B755" s="130"/>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c r="A756" s="91"/>
      <c r="B756" s="130"/>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c r="A757" s="91"/>
      <c r="B757" s="130"/>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c r="A758" s="91"/>
      <c r="B758" s="130"/>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c r="A759" s="91"/>
      <c r="B759" s="130"/>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c r="A760" s="91"/>
      <c r="B760" s="130"/>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c r="A761" s="91"/>
      <c r="B761" s="130"/>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c r="A762" s="91"/>
      <c r="B762" s="130"/>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c r="A763" s="91"/>
      <c r="B763" s="130"/>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c r="A764" s="91"/>
      <c r="B764" s="130"/>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c r="A765" s="91"/>
      <c r="B765" s="130"/>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c r="A766" s="91"/>
      <c r="B766" s="130"/>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c r="A767" s="91"/>
      <c r="B767" s="130"/>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c r="A768" s="91"/>
      <c r="B768" s="130"/>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c r="A769" s="91"/>
      <c r="B769" s="130"/>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c r="A770" s="91"/>
      <c r="B770" s="130"/>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c r="A771" s="91"/>
      <c r="B771" s="130"/>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c r="A772" s="91"/>
      <c r="B772" s="130"/>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c r="A773" s="91"/>
      <c r="B773" s="130"/>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c r="A774" s="91"/>
      <c r="B774" s="130"/>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c r="A775" s="91"/>
      <c r="B775" s="130"/>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c r="A776" s="91"/>
      <c r="B776" s="130"/>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c r="A777" s="91"/>
      <c r="B777" s="130"/>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c r="A778" s="91"/>
      <c r="B778" s="130"/>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c r="A779" s="91"/>
      <c r="B779" s="130"/>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c r="A780" s="91"/>
      <c r="B780" s="130"/>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c r="A781" s="91"/>
      <c r="B781" s="130"/>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c r="A782" s="91"/>
      <c r="B782" s="130"/>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c r="A783" s="91"/>
      <c r="B783" s="130"/>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c r="A784" s="91"/>
      <c r="B784" s="130"/>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c r="A785" s="91"/>
      <c r="B785" s="130"/>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c r="A786" s="91"/>
      <c r="B786" s="130"/>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c r="A787" s="91"/>
      <c r="B787" s="130"/>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c r="A788" s="91"/>
      <c r="B788" s="130"/>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c r="A789" s="91"/>
      <c r="B789" s="130"/>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c r="A790" s="91"/>
      <c r="B790" s="130"/>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c r="A791" s="91"/>
      <c r="B791" s="130"/>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c r="A792" s="91"/>
      <c r="B792" s="130"/>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c r="A793" s="91"/>
      <c r="B793" s="130"/>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c r="A794" s="91"/>
      <c r="B794" s="130"/>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c r="A795" s="91"/>
      <c r="B795" s="130"/>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c r="A796" s="91"/>
      <c r="B796" s="130"/>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c r="A797" s="91"/>
      <c r="B797" s="130"/>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c r="A798" s="91"/>
      <c r="B798" s="130"/>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c r="A799" s="91"/>
      <c r="B799" s="130"/>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c r="A800" s="91"/>
      <c r="B800" s="130"/>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c r="A801" s="91"/>
      <c r="B801" s="130"/>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c r="A802" s="91"/>
      <c r="B802" s="130"/>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c r="A803" s="91"/>
      <c r="B803" s="130"/>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c r="A804" s="91"/>
      <c r="B804" s="130"/>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c r="A805" s="91"/>
      <c r="B805" s="130"/>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c r="A806" s="91"/>
      <c r="B806" s="130"/>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c r="A807" s="91"/>
      <c r="B807" s="130"/>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c r="A808" s="91"/>
      <c r="B808" s="130"/>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c r="A809" s="91"/>
      <c r="B809" s="130"/>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c r="A810" s="91"/>
      <c r="B810" s="130"/>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c r="A811" s="91"/>
      <c r="B811" s="130"/>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c r="A812" s="91"/>
      <c r="B812" s="130"/>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c r="A813" s="91"/>
      <c r="B813" s="130"/>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c r="A814" s="91"/>
      <c r="B814" s="130"/>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c r="A815" s="91"/>
      <c r="B815" s="130"/>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c r="A816" s="91"/>
      <c r="B816" s="130"/>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c r="A817" s="91"/>
      <c r="B817" s="130"/>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c r="A818" s="91"/>
      <c r="B818" s="130"/>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c r="A819" s="91"/>
      <c r="B819" s="130"/>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c r="A820" s="91"/>
      <c r="B820" s="130"/>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c r="A821" s="91"/>
      <c r="B821" s="130"/>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c r="A822" s="91"/>
      <c r="B822" s="130"/>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c r="A823" s="91"/>
      <c r="B823" s="130"/>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c r="A824" s="91"/>
      <c r="B824" s="130"/>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c r="A825" s="91"/>
      <c r="B825" s="130"/>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c r="A826" s="91"/>
      <c r="B826" s="130"/>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c r="A827" s="91"/>
      <c r="B827" s="130"/>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c r="A828" s="91"/>
      <c r="B828" s="130"/>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c r="A829" s="91"/>
      <c r="B829" s="130"/>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c r="A830" s="91"/>
      <c r="B830" s="130"/>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c r="A831" s="91"/>
      <c r="B831" s="130"/>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c r="A832" s="91"/>
      <c r="B832" s="130"/>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c r="A833" s="91"/>
      <c r="B833" s="130"/>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c r="A834" s="91"/>
      <c r="B834" s="130"/>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c r="A835" s="91"/>
      <c r="B835" s="130"/>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c r="A836" s="91"/>
      <c r="B836" s="130"/>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c r="A837" s="91"/>
      <c r="B837" s="130"/>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c r="A838" s="91"/>
      <c r="B838" s="130"/>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c r="A839" s="91"/>
      <c r="B839" s="130"/>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c r="A840" s="91"/>
      <c r="B840" s="130"/>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c r="A841" s="91"/>
      <c r="B841" s="130"/>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c r="A842" s="91"/>
      <c r="B842" s="130"/>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c r="A843" s="91"/>
      <c r="B843" s="130"/>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c r="A844" s="91"/>
      <c r="B844" s="130"/>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c r="A845" s="91"/>
      <c r="B845" s="130"/>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c r="A846" s="91"/>
      <c r="B846" s="130"/>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c r="A847" s="91"/>
      <c r="B847" s="130"/>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c r="A848" s="91"/>
      <c r="B848" s="130"/>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c r="A849" s="91"/>
      <c r="B849" s="130"/>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c r="A850" s="91"/>
      <c r="B850" s="130"/>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c r="A851" s="91"/>
      <c r="B851" s="130"/>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c r="A852" s="91"/>
      <c r="B852" s="130"/>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c r="A853" s="91"/>
      <c r="B853" s="130"/>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c r="A854" s="91"/>
      <c r="B854" s="130"/>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c r="A855" s="91"/>
      <c r="B855" s="130"/>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c r="A856" s="91"/>
      <c r="B856" s="130"/>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c r="A857" s="91"/>
      <c r="B857" s="130"/>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c r="A858" s="91"/>
      <c r="B858" s="130"/>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c r="A859" s="91"/>
      <c r="B859" s="130"/>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c r="A860" s="91"/>
      <c r="B860" s="130"/>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c r="A861" s="91"/>
      <c r="B861" s="130"/>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c r="A862" s="91"/>
      <c r="B862" s="130"/>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c r="A863" s="91"/>
      <c r="B863" s="130"/>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c r="A864" s="91"/>
      <c r="B864" s="130"/>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c r="A865" s="91"/>
      <c r="B865" s="130"/>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c r="A866" s="91"/>
      <c r="B866" s="130"/>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c r="A867" s="91"/>
      <c r="B867" s="130"/>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c r="A868" s="91"/>
      <c r="B868" s="130"/>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c r="A869" s="91"/>
      <c r="B869" s="130"/>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c r="A870" s="91"/>
      <c r="B870" s="130"/>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c r="A871" s="91"/>
      <c r="B871" s="130"/>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c r="A872" s="91"/>
      <c r="B872" s="130"/>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c r="A873" s="91"/>
      <c r="B873" s="130"/>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c r="A874" s="91"/>
      <c r="B874" s="130"/>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c r="A875" s="91"/>
      <c r="B875" s="130"/>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c r="A876" s="91"/>
      <c r="B876" s="130"/>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c r="A877" s="91"/>
      <c r="B877" s="130"/>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c r="A878" s="91"/>
      <c r="B878" s="130"/>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c r="A879" s="91"/>
      <c r="B879" s="130"/>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c r="A880" s="91"/>
      <c r="B880" s="130"/>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c r="A881" s="91"/>
      <c r="B881" s="130"/>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c r="A882" s="91"/>
      <c r="B882" s="130"/>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c r="A883" s="91"/>
      <c r="B883" s="130"/>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c r="A884" s="91"/>
      <c r="B884" s="130"/>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c r="A885" s="91"/>
      <c r="B885" s="130"/>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c r="A886" s="91"/>
      <c r="B886" s="130"/>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c r="A887" s="91"/>
      <c r="B887" s="130"/>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c r="A888" s="91"/>
      <c r="B888" s="130"/>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c r="A889" s="91"/>
      <c r="B889" s="130"/>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c r="A890" s="91"/>
      <c r="B890" s="130"/>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c r="A891" s="91"/>
      <c r="B891" s="130"/>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c r="A892" s="91"/>
      <c r="B892" s="130"/>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c r="A893" s="91"/>
      <c r="B893" s="130"/>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c r="A894" s="91"/>
      <c r="B894" s="130"/>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c r="A895" s="91"/>
      <c r="B895" s="130"/>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c r="A896" s="91"/>
      <c r="B896" s="130"/>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c r="A897" s="91"/>
      <c r="B897" s="130"/>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c r="A898" s="91"/>
      <c r="B898" s="130"/>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c r="A899" s="91"/>
      <c r="B899" s="130"/>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c r="A900" s="91"/>
      <c r="B900" s="130"/>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c r="A901" s="91"/>
      <c r="B901" s="130"/>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c r="A902" s="91"/>
      <c r="B902" s="130"/>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c r="A903" s="91"/>
      <c r="B903" s="130"/>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c r="A904" s="91"/>
      <c r="B904" s="130"/>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c r="A905" s="91"/>
      <c r="B905" s="130"/>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c r="A906" s="91"/>
      <c r="B906" s="130"/>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c r="A907" s="91"/>
      <c r="B907" s="130"/>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c r="A908" s="91"/>
      <c r="B908" s="130"/>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c r="A909" s="91"/>
      <c r="B909" s="130"/>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c r="A910" s="91"/>
      <c r="B910" s="130"/>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c r="A911" s="91"/>
      <c r="B911" s="130"/>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c r="A912" s="91"/>
      <c r="B912" s="130"/>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c r="A913" s="91"/>
      <c r="B913" s="130"/>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c r="A914" s="91"/>
      <c r="B914" s="130"/>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c r="A915" s="91"/>
      <c r="B915" s="130"/>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c r="A916" s="91"/>
      <c r="B916" s="130"/>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c r="A917" s="91"/>
      <c r="B917" s="130"/>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c r="A918" s="91"/>
      <c r="B918" s="130"/>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c r="A919" s="91"/>
      <c r="B919" s="130"/>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c r="A920" s="91"/>
      <c r="B920" s="130"/>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c r="A921" s="91"/>
      <c r="B921" s="130"/>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c r="A922" s="91"/>
      <c r="B922" s="130"/>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c r="A923" s="91"/>
      <c r="B923" s="130"/>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c r="A924" s="91"/>
      <c r="B924" s="130"/>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c r="A925" s="91"/>
      <c r="B925" s="130"/>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c r="A926" s="91"/>
      <c r="B926" s="130"/>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c r="A927" s="91"/>
      <c r="B927" s="130"/>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c r="A928" s="91"/>
      <c r="B928" s="130"/>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c r="A929" s="91"/>
      <c r="B929" s="130"/>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c r="A930" s="91"/>
      <c r="B930" s="130"/>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c r="A931" s="91"/>
      <c r="B931" s="130"/>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c r="A932" s="91"/>
      <c r="B932" s="130"/>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c r="A933" s="91"/>
      <c r="B933" s="130"/>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c r="A934" s="91"/>
      <c r="B934" s="130"/>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c r="A935" s="91"/>
      <c r="B935" s="130"/>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c r="A936" s="91"/>
      <c r="B936" s="130"/>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c r="A937" s="91"/>
      <c r="B937" s="130"/>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c r="A938" s="91"/>
      <c r="B938" s="130"/>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c r="A939" s="91"/>
      <c r="B939" s="130"/>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c r="A940" s="91"/>
      <c r="B940" s="130"/>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c r="A941" s="91"/>
      <c r="B941" s="130"/>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c r="A942" s="91"/>
      <c r="B942" s="130"/>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c r="A943" s="91"/>
      <c r="B943" s="130"/>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c r="A944" s="91"/>
      <c r="B944" s="130"/>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c r="A945" s="91"/>
      <c r="B945" s="130"/>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c r="A946" s="91"/>
      <c r="B946" s="130"/>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c r="A947" s="91"/>
      <c r="B947" s="130"/>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c r="A948" s="91"/>
      <c r="B948" s="130"/>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c r="A949" s="91"/>
      <c r="B949" s="130"/>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c r="A950" s="91"/>
      <c r="B950" s="130"/>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c r="A951" s="91"/>
      <c r="B951" s="130"/>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c r="A952" s="91"/>
      <c r="B952" s="130"/>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c r="A953" s="91"/>
      <c r="B953" s="130"/>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c r="A954" s="91"/>
      <c r="B954" s="130"/>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c r="A955" s="91"/>
      <c r="B955" s="130"/>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c r="A956" s="91"/>
      <c r="B956" s="130"/>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c r="A957" s="91"/>
      <c r="B957" s="130"/>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c r="A958" s="91"/>
      <c r="B958" s="130"/>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c r="A959" s="91"/>
      <c r="B959" s="130"/>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c r="A960" s="91"/>
      <c r="B960" s="130"/>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c r="A961" s="91"/>
      <c r="B961" s="130"/>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c r="A962" s="91"/>
      <c r="B962" s="130"/>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c r="A963" s="91"/>
      <c r="B963" s="130"/>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c r="A964" s="91"/>
      <c r="B964" s="130"/>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c r="A965" s="91"/>
      <c r="B965" s="130"/>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c r="A966" s="91"/>
      <c r="B966" s="130"/>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c r="A967" s="91"/>
      <c r="B967" s="130"/>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c r="A968" s="91"/>
      <c r="B968" s="130"/>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c r="A969" s="91"/>
      <c r="B969" s="130"/>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c r="A970" s="91"/>
      <c r="B970" s="130"/>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c r="A971" s="91"/>
      <c r="B971" s="130"/>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c r="A972" s="91"/>
      <c r="B972" s="130"/>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c r="A973" s="91"/>
      <c r="B973" s="130"/>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c r="A974" s="91"/>
      <c r="B974" s="130"/>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c r="A975" s="91"/>
      <c r="B975" s="130"/>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c r="A976" s="91"/>
      <c r="B976" s="130"/>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c r="A977" s="91"/>
      <c r="B977" s="130"/>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c r="A978" s="91"/>
      <c r="B978" s="130"/>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c r="A979" s="91"/>
      <c r="B979" s="130"/>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c r="A980" s="91"/>
      <c r="B980" s="130"/>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c r="A981" s="91"/>
      <c r="B981" s="130"/>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c r="A982" s="91"/>
      <c r="B982" s="130"/>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c r="A983" s="91"/>
      <c r="B983" s="130"/>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c r="A984" s="91"/>
      <c r="B984" s="130"/>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c r="A985" s="91"/>
      <c r="B985" s="130"/>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c r="A986" s="91"/>
      <c r="B986" s="130"/>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c r="A987" s="91"/>
      <c r="B987" s="130"/>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c r="A988" s="91"/>
      <c r="B988" s="130"/>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c r="A989" s="91"/>
      <c r="B989" s="130"/>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c r="A990" s="91"/>
      <c r="B990" s="130"/>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c r="A991" s="91"/>
      <c r="B991" s="130"/>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c r="A992" s="91"/>
      <c r="B992" s="130"/>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c r="A993" s="91"/>
      <c r="B993" s="130"/>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c r="A994" s="91"/>
      <c r="B994" s="130"/>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c r="A995" s="91"/>
      <c r="B995" s="130"/>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c r="A996" s="91"/>
      <c r="B996" s="130"/>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c r="A997" s="91"/>
      <c r="B997" s="130"/>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c r="A998" s="91"/>
      <c r="B998" s="130"/>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c r="A999" s="91"/>
      <c r="B999" s="130"/>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c r="A1000" s="91"/>
      <c r="B1000" s="130"/>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row r="1001">
      <c r="A1001" s="91"/>
      <c r="B1001" s="130"/>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c r="Z1001" s="91"/>
    </row>
    <row r="1002">
      <c r="A1002" s="91"/>
      <c r="B1002" s="130"/>
      <c r="C1002" s="91"/>
      <c r="D1002" s="91"/>
      <c r="E1002" s="91"/>
      <c r="F1002" s="91"/>
      <c r="G1002" s="91"/>
      <c r="H1002" s="91"/>
      <c r="I1002" s="91"/>
      <c r="J1002" s="91"/>
      <c r="K1002" s="91"/>
      <c r="L1002" s="91"/>
      <c r="M1002" s="91"/>
      <c r="N1002" s="91"/>
      <c r="O1002" s="91"/>
      <c r="P1002" s="91"/>
      <c r="Q1002" s="91"/>
      <c r="R1002" s="91"/>
      <c r="S1002" s="91"/>
      <c r="T1002" s="91"/>
      <c r="U1002" s="91"/>
      <c r="V1002" s="91"/>
      <c r="W1002" s="91"/>
      <c r="X1002" s="91"/>
      <c r="Y1002" s="91"/>
      <c r="Z1002" s="91"/>
    </row>
    <row r="1003">
      <c r="A1003" s="91"/>
      <c r="B1003" s="130"/>
      <c r="C1003" s="91"/>
      <c r="D1003" s="91"/>
      <c r="E1003" s="91"/>
      <c r="F1003" s="91"/>
      <c r="G1003" s="91"/>
      <c r="H1003" s="91"/>
      <c r="I1003" s="91"/>
      <c r="J1003" s="91"/>
      <c r="K1003" s="91"/>
      <c r="L1003" s="91"/>
      <c r="M1003" s="91"/>
      <c r="N1003" s="91"/>
      <c r="O1003" s="91"/>
      <c r="P1003" s="91"/>
      <c r="Q1003" s="91"/>
      <c r="R1003" s="91"/>
      <c r="S1003" s="91"/>
      <c r="T1003" s="91"/>
      <c r="U1003" s="91"/>
      <c r="V1003" s="91"/>
      <c r="W1003" s="91"/>
      <c r="X1003" s="91"/>
      <c r="Y1003" s="91"/>
      <c r="Z1003" s="91"/>
    </row>
    <row r="1004">
      <c r="A1004" s="91"/>
      <c r="B1004" s="130"/>
      <c r="C1004" s="91"/>
      <c r="D1004" s="91"/>
      <c r="E1004" s="91"/>
      <c r="F1004" s="91"/>
      <c r="G1004" s="91"/>
      <c r="H1004" s="91"/>
      <c r="I1004" s="91"/>
      <c r="J1004" s="91"/>
      <c r="K1004" s="91"/>
      <c r="L1004" s="91"/>
      <c r="M1004" s="91"/>
      <c r="N1004" s="91"/>
      <c r="O1004" s="91"/>
      <c r="P1004" s="91"/>
      <c r="Q1004" s="91"/>
      <c r="R1004" s="91"/>
      <c r="S1004" s="91"/>
      <c r="T1004" s="91"/>
      <c r="U1004" s="91"/>
      <c r="V1004" s="91"/>
      <c r="W1004" s="91"/>
      <c r="X1004" s="91"/>
      <c r="Y1004" s="91"/>
      <c r="Z1004" s="91"/>
    </row>
    <row r="1005">
      <c r="A1005" s="91"/>
      <c r="B1005" s="130"/>
      <c r="C1005" s="91"/>
      <c r="D1005" s="91"/>
      <c r="E1005" s="91"/>
      <c r="F1005" s="91"/>
      <c r="G1005" s="91"/>
      <c r="H1005" s="91"/>
      <c r="I1005" s="91"/>
      <c r="J1005" s="91"/>
      <c r="K1005" s="91"/>
      <c r="L1005" s="91"/>
      <c r="M1005" s="91"/>
      <c r="N1005" s="91"/>
      <c r="O1005" s="91"/>
      <c r="P1005" s="91"/>
      <c r="Q1005" s="91"/>
      <c r="R1005" s="91"/>
      <c r="S1005" s="91"/>
      <c r="T1005" s="91"/>
      <c r="U1005" s="91"/>
      <c r="V1005" s="91"/>
      <c r="W1005" s="91"/>
      <c r="X1005" s="91"/>
      <c r="Y1005" s="91"/>
      <c r="Z1005" s="91"/>
    </row>
    <row r="1006">
      <c r="A1006" s="91"/>
      <c r="B1006" s="130"/>
      <c r="C1006" s="91"/>
      <c r="D1006" s="91"/>
      <c r="E1006" s="91"/>
      <c r="F1006" s="91"/>
      <c r="G1006" s="91"/>
      <c r="H1006" s="91"/>
      <c r="I1006" s="91"/>
      <c r="J1006" s="91"/>
      <c r="K1006" s="91"/>
      <c r="L1006" s="91"/>
      <c r="M1006" s="91"/>
      <c r="N1006" s="91"/>
      <c r="O1006" s="91"/>
      <c r="P1006" s="91"/>
      <c r="Q1006" s="91"/>
      <c r="R1006" s="91"/>
      <c r="S1006" s="91"/>
      <c r="T1006" s="91"/>
      <c r="U1006" s="91"/>
      <c r="V1006" s="91"/>
      <c r="W1006" s="91"/>
      <c r="X1006" s="91"/>
      <c r="Y1006" s="91"/>
      <c r="Z1006" s="91"/>
    </row>
    <row r="1007">
      <c r="A1007" s="91"/>
      <c r="B1007" s="130"/>
      <c r="C1007" s="91"/>
      <c r="D1007" s="91"/>
      <c r="E1007" s="91"/>
      <c r="F1007" s="91"/>
      <c r="G1007" s="91"/>
      <c r="H1007" s="91"/>
      <c r="I1007" s="91"/>
      <c r="J1007" s="91"/>
      <c r="K1007" s="91"/>
      <c r="L1007" s="91"/>
      <c r="M1007" s="91"/>
      <c r="N1007" s="91"/>
      <c r="O1007" s="91"/>
      <c r="P1007" s="91"/>
      <c r="Q1007" s="91"/>
      <c r="R1007" s="91"/>
      <c r="S1007" s="91"/>
      <c r="T1007" s="91"/>
      <c r="U1007" s="91"/>
      <c r="V1007" s="91"/>
      <c r="W1007" s="91"/>
      <c r="X1007" s="91"/>
      <c r="Y1007" s="91"/>
      <c r="Z1007" s="91"/>
    </row>
    <row r="1008">
      <c r="A1008" s="91"/>
      <c r="B1008" s="130"/>
      <c r="C1008" s="91"/>
      <c r="D1008" s="91"/>
      <c r="E1008" s="91"/>
      <c r="F1008" s="91"/>
      <c r="G1008" s="91"/>
      <c r="H1008" s="91"/>
      <c r="I1008" s="91"/>
      <c r="J1008" s="91"/>
      <c r="K1008" s="91"/>
      <c r="L1008" s="91"/>
      <c r="M1008" s="91"/>
      <c r="N1008" s="91"/>
      <c r="O1008" s="91"/>
      <c r="P1008" s="91"/>
      <c r="Q1008" s="91"/>
      <c r="R1008" s="91"/>
      <c r="S1008" s="91"/>
      <c r="T1008" s="91"/>
      <c r="U1008" s="91"/>
      <c r="V1008" s="91"/>
      <c r="W1008" s="91"/>
      <c r="X1008" s="91"/>
      <c r="Y1008" s="91"/>
      <c r="Z1008" s="91"/>
    </row>
    <row r="1009">
      <c r="A1009" s="91"/>
      <c r="B1009" s="130"/>
      <c r="C1009" s="91"/>
      <c r="D1009" s="91"/>
      <c r="E1009" s="91"/>
      <c r="F1009" s="91"/>
      <c r="G1009" s="91"/>
      <c r="H1009" s="91"/>
      <c r="I1009" s="91"/>
      <c r="J1009" s="91"/>
      <c r="K1009" s="91"/>
      <c r="L1009" s="91"/>
      <c r="M1009" s="91"/>
      <c r="N1009" s="91"/>
      <c r="O1009" s="91"/>
      <c r="P1009" s="91"/>
      <c r="Q1009" s="91"/>
      <c r="R1009" s="91"/>
      <c r="S1009" s="91"/>
      <c r="T1009" s="91"/>
      <c r="U1009" s="91"/>
      <c r="V1009" s="91"/>
      <c r="W1009" s="91"/>
      <c r="X1009" s="91"/>
      <c r="Y1009" s="91"/>
      <c r="Z1009" s="91"/>
    </row>
    <row r="1010">
      <c r="A1010" s="91"/>
      <c r="B1010" s="130"/>
      <c r="C1010" s="91"/>
      <c r="D1010" s="91"/>
      <c r="E1010" s="91"/>
      <c r="F1010" s="91"/>
      <c r="G1010" s="91"/>
      <c r="H1010" s="91"/>
      <c r="I1010" s="91"/>
      <c r="J1010" s="91"/>
      <c r="K1010" s="91"/>
      <c r="L1010" s="91"/>
      <c r="M1010" s="91"/>
      <c r="N1010" s="91"/>
      <c r="O1010" s="91"/>
      <c r="P1010" s="91"/>
      <c r="Q1010" s="91"/>
      <c r="R1010" s="91"/>
      <c r="S1010" s="91"/>
      <c r="T1010" s="91"/>
      <c r="U1010" s="91"/>
      <c r="V1010" s="91"/>
      <c r="W1010" s="91"/>
      <c r="X1010" s="91"/>
      <c r="Y1010" s="91"/>
      <c r="Z1010" s="91"/>
    </row>
    <row r="1011">
      <c r="A1011" s="91"/>
      <c r="B1011" s="130"/>
      <c r="C1011" s="91"/>
      <c r="D1011" s="91"/>
      <c r="E1011" s="91"/>
      <c r="F1011" s="91"/>
      <c r="G1011" s="91"/>
      <c r="H1011" s="91"/>
      <c r="I1011" s="91"/>
      <c r="J1011" s="91"/>
      <c r="K1011" s="91"/>
      <c r="L1011" s="91"/>
      <c r="M1011" s="91"/>
      <c r="N1011" s="91"/>
      <c r="O1011" s="91"/>
      <c r="P1011" s="91"/>
      <c r="Q1011" s="91"/>
      <c r="R1011" s="91"/>
      <c r="S1011" s="91"/>
      <c r="T1011" s="91"/>
      <c r="U1011" s="91"/>
      <c r="V1011" s="91"/>
      <c r="W1011" s="91"/>
      <c r="X1011" s="91"/>
      <c r="Y1011" s="91"/>
      <c r="Z1011" s="91"/>
    </row>
    <row r="1012">
      <c r="A1012" s="91"/>
      <c r="B1012" s="130"/>
      <c r="C1012" s="91"/>
      <c r="D1012" s="91"/>
      <c r="E1012" s="91"/>
      <c r="F1012" s="91"/>
      <c r="G1012" s="91"/>
      <c r="H1012" s="91"/>
      <c r="I1012" s="91"/>
      <c r="J1012" s="91"/>
      <c r="K1012" s="91"/>
      <c r="L1012" s="91"/>
      <c r="M1012" s="91"/>
      <c r="N1012" s="91"/>
      <c r="O1012" s="91"/>
      <c r="P1012" s="91"/>
      <c r="Q1012" s="91"/>
      <c r="R1012" s="91"/>
      <c r="S1012" s="91"/>
      <c r="T1012" s="91"/>
      <c r="U1012" s="91"/>
      <c r="V1012" s="91"/>
      <c r="W1012" s="91"/>
      <c r="X1012" s="91"/>
      <c r="Y1012" s="91"/>
      <c r="Z1012" s="91"/>
    </row>
    <row r="1013">
      <c r="A1013" s="91"/>
      <c r="B1013" s="130"/>
      <c r="C1013" s="91"/>
      <c r="D1013" s="91"/>
      <c r="E1013" s="91"/>
      <c r="F1013" s="91"/>
      <c r="G1013" s="91"/>
      <c r="H1013" s="91"/>
      <c r="I1013" s="91"/>
      <c r="J1013" s="91"/>
      <c r="K1013" s="91"/>
      <c r="L1013" s="91"/>
      <c r="M1013" s="91"/>
      <c r="N1013" s="91"/>
      <c r="O1013" s="91"/>
      <c r="P1013" s="91"/>
      <c r="Q1013" s="91"/>
      <c r="R1013" s="91"/>
      <c r="S1013" s="91"/>
      <c r="T1013" s="91"/>
      <c r="U1013" s="91"/>
      <c r="V1013" s="91"/>
      <c r="W1013" s="91"/>
      <c r="X1013" s="91"/>
      <c r="Y1013" s="91"/>
      <c r="Z1013" s="91"/>
    </row>
    <row r="1014">
      <c r="A1014" s="91"/>
      <c r="B1014" s="130"/>
      <c r="C1014" s="91"/>
      <c r="D1014" s="91"/>
      <c r="E1014" s="91"/>
      <c r="F1014" s="91"/>
      <c r="G1014" s="91"/>
      <c r="H1014" s="91"/>
      <c r="I1014" s="91"/>
      <c r="J1014" s="91"/>
      <c r="K1014" s="91"/>
      <c r="L1014" s="91"/>
      <c r="M1014" s="91"/>
      <c r="N1014" s="91"/>
      <c r="O1014" s="91"/>
      <c r="P1014" s="91"/>
      <c r="Q1014" s="91"/>
      <c r="R1014" s="91"/>
      <c r="S1014" s="91"/>
      <c r="T1014" s="91"/>
      <c r="U1014" s="91"/>
      <c r="V1014" s="91"/>
      <c r="W1014" s="91"/>
      <c r="X1014" s="91"/>
      <c r="Y1014" s="91"/>
      <c r="Z1014" s="91"/>
    </row>
    <row r="1015">
      <c r="A1015" s="91"/>
      <c r="B1015" s="130"/>
      <c r="C1015" s="91"/>
      <c r="D1015" s="91"/>
      <c r="E1015" s="91"/>
      <c r="F1015" s="91"/>
      <c r="G1015" s="91"/>
      <c r="H1015" s="91"/>
      <c r="I1015" s="91"/>
      <c r="J1015" s="91"/>
      <c r="K1015" s="91"/>
      <c r="L1015" s="91"/>
      <c r="M1015" s="91"/>
      <c r="N1015" s="91"/>
      <c r="O1015" s="91"/>
      <c r="P1015" s="91"/>
      <c r="Q1015" s="91"/>
      <c r="R1015" s="91"/>
      <c r="S1015" s="91"/>
      <c r="T1015" s="91"/>
      <c r="U1015" s="91"/>
      <c r="V1015" s="91"/>
      <c r="W1015" s="91"/>
      <c r="X1015" s="91"/>
      <c r="Y1015" s="91"/>
      <c r="Z1015" s="91"/>
    </row>
    <row r="1016">
      <c r="A1016" s="91"/>
      <c r="B1016" s="130"/>
      <c r="C1016" s="91"/>
      <c r="D1016" s="91"/>
      <c r="E1016" s="91"/>
      <c r="F1016" s="91"/>
      <c r="G1016" s="91"/>
      <c r="H1016" s="91"/>
      <c r="I1016" s="91"/>
      <c r="J1016" s="91"/>
      <c r="K1016" s="91"/>
      <c r="L1016" s="91"/>
      <c r="M1016" s="91"/>
      <c r="N1016" s="91"/>
      <c r="O1016" s="91"/>
      <c r="P1016" s="91"/>
      <c r="Q1016" s="91"/>
      <c r="R1016" s="91"/>
      <c r="S1016" s="91"/>
      <c r="T1016" s="91"/>
      <c r="U1016" s="91"/>
      <c r="V1016" s="91"/>
      <c r="W1016" s="91"/>
      <c r="X1016" s="91"/>
      <c r="Y1016" s="91"/>
      <c r="Z1016" s="91"/>
    </row>
    <row r="1017">
      <c r="A1017" s="91"/>
      <c r="B1017" s="130"/>
      <c r="C1017" s="91"/>
      <c r="D1017" s="91"/>
      <c r="E1017" s="91"/>
      <c r="F1017" s="91"/>
      <c r="G1017" s="91"/>
      <c r="H1017" s="91"/>
      <c r="I1017" s="91"/>
      <c r="J1017" s="91"/>
      <c r="K1017" s="91"/>
      <c r="L1017" s="91"/>
      <c r="M1017" s="91"/>
      <c r="N1017" s="91"/>
      <c r="O1017" s="91"/>
      <c r="P1017" s="91"/>
      <c r="Q1017" s="91"/>
      <c r="R1017" s="91"/>
      <c r="S1017" s="91"/>
      <c r="T1017" s="91"/>
      <c r="U1017" s="91"/>
      <c r="V1017" s="91"/>
      <c r="W1017" s="91"/>
      <c r="X1017" s="91"/>
      <c r="Y1017" s="91"/>
      <c r="Z1017" s="91"/>
    </row>
    <row r="1018">
      <c r="A1018" s="91"/>
      <c r="B1018" s="130"/>
      <c r="C1018" s="91"/>
      <c r="D1018" s="91"/>
      <c r="E1018" s="91"/>
      <c r="F1018" s="91"/>
      <c r="G1018" s="91"/>
      <c r="H1018" s="91"/>
      <c r="I1018" s="91"/>
      <c r="J1018" s="91"/>
      <c r="K1018" s="91"/>
      <c r="L1018" s="91"/>
      <c r="M1018" s="91"/>
      <c r="N1018" s="91"/>
      <c r="O1018" s="91"/>
      <c r="P1018" s="91"/>
      <c r="Q1018" s="91"/>
      <c r="R1018" s="91"/>
      <c r="S1018" s="91"/>
      <c r="T1018" s="91"/>
      <c r="U1018" s="91"/>
      <c r="V1018" s="91"/>
      <c r="W1018" s="91"/>
      <c r="X1018" s="91"/>
      <c r="Y1018" s="91"/>
      <c r="Z1018" s="91"/>
    </row>
    <row r="1019">
      <c r="A1019" s="91"/>
      <c r="B1019" s="130"/>
      <c r="C1019" s="91"/>
      <c r="D1019" s="91"/>
      <c r="E1019" s="91"/>
      <c r="F1019" s="91"/>
      <c r="G1019" s="91"/>
      <c r="H1019" s="91"/>
      <c r="I1019" s="91"/>
      <c r="J1019" s="91"/>
      <c r="K1019" s="91"/>
      <c r="L1019" s="91"/>
      <c r="M1019" s="91"/>
      <c r="N1019" s="91"/>
      <c r="O1019" s="91"/>
      <c r="P1019" s="91"/>
      <c r="Q1019" s="91"/>
      <c r="R1019" s="91"/>
      <c r="S1019" s="91"/>
      <c r="T1019" s="91"/>
      <c r="U1019" s="91"/>
      <c r="V1019" s="91"/>
      <c r="W1019" s="91"/>
      <c r="X1019" s="91"/>
      <c r="Y1019" s="91"/>
      <c r="Z1019" s="91"/>
    </row>
    <row r="1020">
      <c r="A1020" s="91"/>
      <c r="B1020" s="130"/>
      <c r="C1020" s="91"/>
      <c r="D1020" s="91"/>
      <c r="E1020" s="91"/>
      <c r="F1020" s="91"/>
      <c r="G1020" s="91"/>
      <c r="H1020" s="91"/>
      <c r="I1020" s="91"/>
      <c r="J1020" s="91"/>
      <c r="K1020" s="91"/>
      <c r="L1020" s="91"/>
      <c r="M1020" s="91"/>
      <c r="N1020" s="91"/>
      <c r="O1020" s="91"/>
      <c r="P1020" s="91"/>
      <c r="Q1020" s="91"/>
      <c r="R1020" s="91"/>
      <c r="S1020" s="91"/>
      <c r="T1020" s="91"/>
      <c r="U1020" s="91"/>
      <c r="V1020" s="91"/>
      <c r="W1020" s="91"/>
      <c r="X1020" s="91"/>
      <c r="Y1020" s="91"/>
      <c r="Z1020" s="91"/>
    </row>
    <row r="1021">
      <c r="A1021" s="91"/>
      <c r="B1021" s="130"/>
      <c r="C1021" s="91"/>
      <c r="D1021" s="91"/>
      <c r="E1021" s="91"/>
      <c r="F1021" s="91"/>
      <c r="G1021" s="91"/>
      <c r="H1021" s="91"/>
      <c r="I1021" s="91"/>
      <c r="J1021" s="91"/>
      <c r="K1021" s="91"/>
      <c r="L1021" s="91"/>
      <c r="M1021" s="91"/>
      <c r="N1021" s="91"/>
      <c r="O1021" s="91"/>
      <c r="P1021" s="91"/>
      <c r="Q1021" s="91"/>
      <c r="R1021" s="91"/>
      <c r="S1021" s="91"/>
      <c r="T1021" s="91"/>
      <c r="U1021" s="91"/>
      <c r="V1021" s="91"/>
      <c r="W1021" s="91"/>
      <c r="X1021" s="91"/>
      <c r="Y1021" s="91"/>
      <c r="Z1021" s="91"/>
    </row>
    <row r="1022">
      <c r="A1022" s="91"/>
      <c r="B1022" s="130"/>
      <c r="C1022" s="91"/>
      <c r="D1022" s="91"/>
      <c r="E1022" s="91"/>
      <c r="F1022" s="91"/>
      <c r="G1022" s="91"/>
      <c r="H1022" s="91"/>
      <c r="I1022" s="91"/>
      <c r="J1022" s="91"/>
      <c r="K1022" s="91"/>
      <c r="L1022" s="91"/>
      <c r="M1022" s="91"/>
      <c r="N1022" s="91"/>
      <c r="O1022" s="91"/>
      <c r="P1022" s="91"/>
      <c r="Q1022" s="91"/>
      <c r="R1022" s="91"/>
      <c r="S1022" s="91"/>
      <c r="T1022" s="91"/>
      <c r="U1022" s="91"/>
      <c r="V1022" s="91"/>
      <c r="W1022" s="91"/>
      <c r="X1022" s="91"/>
      <c r="Y1022" s="91"/>
      <c r="Z1022" s="91"/>
    </row>
    <row r="1023">
      <c r="A1023" s="91"/>
      <c r="B1023" s="130"/>
      <c r="C1023" s="91"/>
      <c r="D1023" s="91"/>
      <c r="E1023" s="91"/>
      <c r="F1023" s="91"/>
      <c r="G1023" s="91"/>
      <c r="H1023" s="91"/>
      <c r="I1023" s="91"/>
      <c r="J1023" s="91"/>
      <c r="K1023" s="91"/>
      <c r="L1023" s="91"/>
      <c r="M1023" s="91"/>
      <c r="N1023" s="91"/>
      <c r="O1023" s="91"/>
      <c r="P1023" s="91"/>
      <c r="Q1023" s="91"/>
      <c r="R1023" s="91"/>
      <c r="S1023" s="91"/>
      <c r="T1023" s="91"/>
      <c r="U1023" s="91"/>
      <c r="V1023" s="91"/>
      <c r="W1023" s="91"/>
      <c r="X1023" s="91"/>
      <c r="Y1023" s="91"/>
      <c r="Z1023" s="91"/>
    </row>
    <row r="1024">
      <c r="A1024" s="91"/>
      <c r="B1024" s="130"/>
      <c r="C1024" s="91"/>
      <c r="D1024" s="91"/>
      <c r="E1024" s="91"/>
      <c r="F1024" s="91"/>
      <c r="G1024" s="91"/>
      <c r="H1024" s="91"/>
      <c r="I1024" s="91"/>
      <c r="J1024" s="91"/>
      <c r="K1024" s="91"/>
      <c r="L1024" s="91"/>
      <c r="M1024" s="91"/>
      <c r="N1024" s="91"/>
      <c r="O1024" s="91"/>
      <c r="P1024" s="91"/>
      <c r="Q1024" s="91"/>
      <c r="R1024" s="91"/>
      <c r="S1024" s="91"/>
      <c r="T1024" s="91"/>
      <c r="U1024" s="91"/>
      <c r="V1024" s="91"/>
      <c r="W1024" s="91"/>
      <c r="X1024" s="91"/>
      <c r="Y1024" s="91"/>
      <c r="Z1024" s="91"/>
    </row>
    <row r="1025">
      <c r="A1025" s="91"/>
      <c r="B1025" s="130"/>
      <c r="C1025" s="91"/>
      <c r="D1025" s="91"/>
      <c r="E1025" s="91"/>
      <c r="F1025" s="91"/>
      <c r="G1025" s="91"/>
      <c r="H1025" s="91"/>
      <c r="I1025" s="91"/>
      <c r="J1025" s="91"/>
      <c r="K1025" s="91"/>
      <c r="L1025" s="91"/>
      <c r="M1025" s="91"/>
      <c r="N1025" s="91"/>
      <c r="O1025" s="91"/>
      <c r="P1025" s="91"/>
      <c r="Q1025" s="91"/>
      <c r="R1025" s="91"/>
      <c r="S1025" s="91"/>
      <c r="T1025" s="91"/>
      <c r="U1025" s="91"/>
      <c r="V1025" s="91"/>
      <c r="W1025" s="91"/>
      <c r="X1025" s="91"/>
      <c r="Y1025" s="91"/>
      <c r="Z1025" s="91"/>
    </row>
    <row r="1026">
      <c r="A1026" s="91"/>
      <c r="B1026" s="130"/>
      <c r="C1026" s="91"/>
      <c r="D1026" s="91"/>
      <c r="E1026" s="91"/>
      <c r="F1026" s="91"/>
      <c r="G1026" s="91"/>
      <c r="H1026" s="91"/>
      <c r="I1026" s="91"/>
      <c r="J1026" s="91"/>
      <c r="K1026" s="91"/>
      <c r="L1026" s="91"/>
      <c r="M1026" s="91"/>
      <c r="N1026" s="91"/>
      <c r="O1026" s="91"/>
      <c r="P1026" s="91"/>
      <c r="Q1026" s="91"/>
      <c r="R1026" s="91"/>
      <c r="S1026" s="91"/>
      <c r="T1026" s="91"/>
      <c r="U1026" s="91"/>
      <c r="V1026" s="91"/>
      <c r="W1026" s="91"/>
      <c r="X1026" s="91"/>
      <c r="Y1026" s="91"/>
      <c r="Z1026" s="91"/>
    </row>
    <row r="1027">
      <c r="A1027" s="91"/>
      <c r="B1027" s="130"/>
      <c r="C1027" s="91"/>
      <c r="D1027" s="91"/>
      <c r="E1027" s="91"/>
      <c r="F1027" s="91"/>
      <c r="G1027" s="91"/>
      <c r="H1027" s="91"/>
      <c r="I1027" s="91"/>
      <c r="J1027" s="91"/>
      <c r="K1027" s="91"/>
      <c r="L1027" s="91"/>
      <c r="M1027" s="91"/>
      <c r="N1027" s="91"/>
      <c r="O1027" s="91"/>
      <c r="P1027" s="91"/>
      <c r="Q1027" s="91"/>
      <c r="R1027" s="91"/>
      <c r="S1027" s="91"/>
      <c r="T1027" s="91"/>
      <c r="U1027" s="91"/>
      <c r="V1027" s="91"/>
      <c r="W1027" s="91"/>
      <c r="X1027" s="91"/>
      <c r="Y1027" s="91"/>
      <c r="Z1027" s="91"/>
    </row>
    <row r="1028">
      <c r="A1028" s="91"/>
      <c r="B1028" s="130"/>
      <c r="C1028" s="91"/>
      <c r="D1028" s="91"/>
      <c r="E1028" s="91"/>
      <c r="F1028" s="91"/>
      <c r="G1028" s="91"/>
      <c r="H1028" s="91"/>
      <c r="I1028" s="91"/>
      <c r="J1028" s="91"/>
      <c r="K1028" s="91"/>
      <c r="L1028" s="91"/>
      <c r="M1028" s="91"/>
      <c r="N1028" s="91"/>
      <c r="O1028" s="91"/>
      <c r="P1028" s="91"/>
      <c r="Q1028" s="91"/>
      <c r="R1028" s="91"/>
      <c r="S1028" s="91"/>
      <c r="T1028" s="91"/>
      <c r="U1028" s="91"/>
      <c r="V1028" s="91"/>
      <c r="W1028" s="91"/>
      <c r="X1028" s="91"/>
      <c r="Y1028" s="91"/>
      <c r="Z1028" s="91"/>
    </row>
    <row r="1029">
      <c r="A1029" s="91"/>
      <c r="B1029" s="130"/>
      <c r="C1029" s="91"/>
      <c r="D1029" s="91"/>
      <c r="E1029" s="91"/>
      <c r="F1029" s="91"/>
      <c r="G1029" s="91"/>
      <c r="H1029" s="91"/>
      <c r="I1029" s="91"/>
      <c r="J1029" s="91"/>
      <c r="K1029" s="91"/>
      <c r="L1029" s="91"/>
      <c r="M1029" s="91"/>
      <c r="N1029" s="91"/>
      <c r="O1029" s="91"/>
      <c r="P1029" s="91"/>
      <c r="Q1029" s="91"/>
      <c r="R1029" s="91"/>
      <c r="S1029" s="91"/>
      <c r="T1029" s="91"/>
      <c r="U1029" s="91"/>
      <c r="V1029" s="91"/>
      <c r="W1029" s="91"/>
      <c r="X1029" s="91"/>
      <c r="Y1029" s="91"/>
      <c r="Z1029" s="91"/>
    </row>
    <row r="1030">
      <c r="A1030" s="91"/>
      <c r="B1030" s="130"/>
      <c r="C1030" s="91"/>
      <c r="D1030" s="91"/>
      <c r="E1030" s="91"/>
      <c r="F1030" s="91"/>
      <c r="G1030" s="91"/>
      <c r="H1030" s="91"/>
      <c r="I1030" s="91"/>
      <c r="J1030" s="91"/>
      <c r="K1030" s="91"/>
      <c r="L1030" s="91"/>
      <c r="M1030" s="91"/>
      <c r="N1030" s="91"/>
      <c r="O1030" s="91"/>
      <c r="P1030" s="91"/>
      <c r="Q1030" s="91"/>
      <c r="R1030" s="91"/>
      <c r="S1030" s="91"/>
      <c r="T1030" s="91"/>
      <c r="U1030" s="91"/>
      <c r="V1030" s="91"/>
      <c r="W1030" s="91"/>
      <c r="X1030" s="91"/>
      <c r="Y1030" s="91"/>
      <c r="Z1030" s="91"/>
    </row>
    <row r="1031">
      <c r="A1031" s="91"/>
      <c r="B1031" s="130"/>
      <c r="C1031" s="91"/>
      <c r="D1031" s="91"/>
      <c r="E1031" s="91"/>
      <c r="F1031" s="91"/>
      <c r="G1031" s="91"/>
      <c r="H1031" s="91"/>
      <c r="I1031" s="91"/>
      <c r="J1031" s="91"/>
      <c r="K1031" s="91"/>
      <c r="L1031" s="91"/>
      <c r="M1031" s="91"/>
      <c r="N1031" s="91"/>
      <c r="O1031" s="91"/>
      <c r="P1031" s="91"/>
      <c r="Q1031" s="91"/>
      <c r="R1031" s="91"/>
      <c r="S1031" s="91"/>
      <c r="T1031" s="91"/>
      <c r="U1031" s="91"/>
      <c r="V1031" s="91"/>
      <c r="W1031" s="91"/>
      <c r="X1031" s="91"/>
      <c r="Y1031" s="91"/>
      <c r="Z1031" s="9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13"/>
    <col customWidth="1" min="2" max="2" width="13.75"/>
    <col customWidth="1" min="3" max="3" width="19.88"/>
    <col customWidth="1" min="4" max="4" width="10.88"/>
    <col customWidth="1" min="5" max="5" width="5.75"/>
    <col customWidth="1" min="6" max="6" width="5.5"/>
    <col customWidth="1" min="7" max="7" width="125.75"/>
    <col customWidth="1" min="8" max="28" width="15.13"/>
  </cols>
  <sheetData>
    <row r="1" ht="15.75" customHeight="1">
      <c r="A1" s="36">
        <f>SUM(A8:A147)</f>
        <v>670</v>
      </c>
      <c r="B1" s="131" t="s">
        <v>794</v>
      </c>
      <c r="C1" s="36">
        <f>SUM(F3:F100)</f>
        <v>141</v>
      </c>
      <c r="D1" s="4"/>
      <c r="E1" s="4"/>
      <c r="F1" s="4"/>
      <c r="G1" s="90" t="s">
        <v>795</v>
      </c>
      <c r="H1" s="91"/>
      <c r="I1" s="91"/>
      <c r="J1" s="91"/>
      <c r="K1" s="91"/>
      <c r="L1" s="91"/>
      <c r="M1" s="91"/>
      <c r="N1" s="91"/>
      <c r="O1" s="91"/>
      <c r="P1" s="91"/>
      <c r="Q1" s="91"/>
      <c r="R1" s="91"/>
      <c r="S1" s="91"/>
      <c r="T1" s="91"/>
      <c r="U1" s="91"/>
      <c r="V1" s="91"/>
      <c r="W1" s="91"/>
      <c r="X1" s="91"/>
      <c r="Y1" s="91"/>
      <c r="Z1" s="91"/>
      <c r="AA1" s="91"/>
      <c r="AB1" s="91"/>
    </row>
    <row r="2" ht="15.75" customHeight="1">
      <c r="A2" s="43" t="s">
        <v>2</v>
      </c>
      <c r="B2" s="45" t="s">
        <v>3</v>
      </c>
      <c r="C2" s="45" t="s">
        <v>4</v>
      </c>
      <c r="D2" s="43" t="s">
        <v>796</v>
      </c>
      <c r="E2" s="45" t="s">
        <v>6</v>
      </c>
      <c r="F2" s="45" t="s">
        <v>234</v>
      </c>
      <c r="G2" s="45" t="s">
        <v>8</v>
      </c>
      <c r="H2" s="91"/>
      <c r="I2" s="91"/>
      <c r="J2" s="91"/>
      <c r="K2" s="91"/>
      <c r="L2" s="91"/>
      <c r="M2" s="91"/>
      <c r="N2" s="91"/>
      <c r="O2" s="91"/>
      <c r="P2" s="91"/>
      <c r="Q2" s="91"/>
      <c r="R2" s="91"/>
      <c r="S2" s="91"/>
      <c r="T2" s="91"/>
      <c r="U2" s="91"/>
      <c r="V2" s="91"/>
      <c r="W2" s="91"/>
      <c r="X2" s="91"/>
      <c r="Y2" s="91"/>
      <c r="Z2" s="91"/>
      <c r="AA2" s="91"/>
      <c r="AB2" s="91"/>
    </row>
    <row r="3" ht="15.75" customHeight="1">
      <c r="A3" s="121"/>
      <c r="B3" s="132"/>
      <c r="C3" s="121"/>
      <c r="D3" s="121"/>
      <c r="E3" s="121"/>
      <c r="F3" s="121"/>
      <c r="G3" s="121"/>
      <c r="H3" s="91"/>
      <c r="I3" s="91"/>
      <c r="J3" s="91"/>
      <c r="K3" s="91"/>
      <c r="L3" s="91"/>
      <c r="M3" s="91"/>
      <c r="N3" s="91"/>
      <c r="O3" s="91"/>
      <c r="P3" s="91"/>
      <c r="Q3" s="91"/>
      <c r="R3" s="91"/>
      <c r="S3" s="91"/>
      <c r="T3" s="91"/>
      <c r="U3" s="91"/>
      <c r="V3" s="91"/>
      <c r="W3" s="91"/>
      <c r="X3" s="91"/>
      <c r="Y3" s="91"/>
      <c r="Z3" s="91"/>
      <c r="AA3" s="91"/>
      <c r="AB3" s="91"/>
    </row>
    <row r="4" ht="15.75" customHeight="1">
      <c r="A4" s="121"/>
      <c r="B4" s="132"/>
      <c r="C4" s="121"/>
      <c r="D4" s="121"/>
      <c r="E4" s="121"/>
      <c r="F4" s="121"/>
      <c r="G4" s="121"/>
      <c r="H4" s="91"/>
      <c r="I4" s="91"/>
      <c r="J4" s="91"/>
      <c r="K4" s="91"/>
      <c r="L4" s="91"/>
      <c r="M4" s="91"/>
      <c r="N4" s="91"/>
      <c r="O4" s="91"/>
      <c r="P4" s="91"/>
      <c r="Q4" s="91"/>
      <c r="R4" s="91"/>
      <c r="S4" s="91"/>
      <c r="T4" s="91"/>
      <c r="U4" s="91"/>
      <c r="V4" s="91"/>
      <c r="W4" s="91"/>
      <c r="X4" s="91"/>
      <c r="Y4" s="91"/>
      <c r="Z4" s="91"/>
      <c r="AA4" s="91"/>
      <c r="AB4" s="91"/>
    </row>
    <row r="5" ht="15.75" customHeight="1">
      <c r="A5" s="121"/>
      <c r="B5" s="132">
        <v>43435.0</v>
      </c>
      <c r="C5" s="121" t="s">
        <v>797</v>
      </c>
      <c r="D5" s="121"/>
      <c r="E5" s="121">
        <v>2.0</v>
      </c>
      <c r="F5" s="121">
        <v>4.0</v>
      </c>
      <c r="G5" s="121" t="s">
        <v>798</v>
      </c>
      <c r="H5" s="91"/>
      <c r="I5" s="91"/>
      <c r="J5" s="91"/>
      <c r="K5" s="91"/>
      <c r="L5" s="91"/>
      <c r="M5" s="91"/>
      <c r="N5" s="91"/>
      <c r="O5" s="91"/>
      <c r="P5" s="91"/>
      <c r="Q5" s="91"/>
      <c r="R5" s="91"/>
      <c r="S5" s="91"/>
      <c r="T5" s="91"/>
      <c r="U5" s="91"/>
      <c r="V5" s="91"/>
      <c r="W5" s="91"/>
      <c r="X5" s="91"/>
      <c r="Y5" s="91"/>
      <c r="Z5" s="91"/>
      <c r="AA5" s="91"/>
      <c r="AB5" s="91"/>
    </row>
    <row r="6" ht="15.75" customHeight="1">
      <c r="A6" s="121"/>
      <c r="B6" s="132"/>
      <c r="C6" s="121" t="s">
        <v>123</v>
      </c>
      <c r="D6" s="121" t="s">
        <v>799</v>
      </c>
      <c r="E6" s="121"/>
      <c r="F6" s="121">
        <v>1.0</v>
      </c>
      <c r="G6" s="121" t="s">
        <v>798</v>
      </c>
      <c r="H6" s="91"/>
      <c r="I6" s="91"/>
      <c r="J6" s="91"/>
      <c r="K6" s="91"/>
      <c r="L6" s="91"/>
      <c r="M6" s="91"/>
      <c r="N6" s="91"/>
      <c r="O6" s="91"/>
      <c r="P6" s="91"/>
      <c r="Q6" s="91"/>
      <c r="R6" s="91"/>
      <c r="S6" s="91"/>
      <c r="T6" s="91"/>
      <c r="U6" s="91"/>
      <c r="V6" s="91"/>
      <c r="W6" s="91"/>
      <c r="X6" s="91"/>
      <c r="Y6" s="91"/>
      <c r="Z6" s="91"/>
      <c r="AA6" s="91"/>
      <c r="AB6" s="91"/>
    </row>
    <row r="7" ht="15.75" customHeight="1">
      <c r="A7" s="121">
        <f t="shared" ref="A7:A9" si="1">E7*F7</f>
        <v>3</v>
      </c>
      <c r="B7" s="132">
        <v>43170.0</v>
      </c>
      <c r="C7" s="121" t="s">
        <v>140</v>
      </c>
      <c r="D7" s="121" t="s">
        <v>247</v>
      </c>
      <c r="E7" s="121">
        <v>3.0</v>
      </c>
      <c r="F7" s="121">
        <v>1.0</v>
      </c>
      <c r="G7" s="121" t="s">
        <v>800</v>
      </c>
      <c r="H7" s="91"/>
      <c r="I7" s="91"/>
      <c r="J7" s="91"/>
      <c r="K7" s="91"/>
      <c r="L7" s="91"/>
      <c r="M7" s="91"/>
      <c r="N7" s="91"/>
      <c r="O7" s="91"/>
      <c r="P7" s="91"/>
      <c r="Q7" s="91"/>
      <c r="R7" s="91"/>
      <c r="S7" s="91"/>
      <c r="T7" s="91"/>
      <c r="U7" s="91"/>
      <c r="V7" s="91"/>
      <c r="W7" s="91"/>
      <c r="X7" s="91"/>
      <c r="Y7" s="91"/>
      <c r="Z7" s="91"/>
      <c r="AA7" s="91"/>
      <c r="AB7" s="91"/>
    </row>
    <row r="8" ht="15.75" customHeight="1">
      <c r="A8" s="121">
        <f t="shared" si="1"/>
        <v>3</v>
      </c>
      <c r="B8" s="133" t="s">
        <v>801</v>
      </c>
      <c r="C8" s="121" t="s">
        <v>802</v>
      </c>
      <c r="D8" s="121" t="s">
        <v>803</v>
      </c>
      <c r="E8" s="121">
        <v>3.0</v>
      </c>
      <c r="F8" s="121">
        <v>1.0</v>
      </c>
      <c r="G8" s="121" t="s">
        <v>804</v>
      </c>
      <c r="H8" s="91"/>
      <c r="I8" s="91"/>
      <c r="J8" s="91"/>
      <c r="K8" s="91"/>
      <c r="L8" s="91"/>
      <c r="M8" s="91"/>
      <c r="N8" s="91"/>
      <c r="O8" s="91"/>
      <c r="P8" s="91"/>
      <c r="Q8" s="91"/>
      <c r="R8" s="91"/>
      <c r="S8" s="91"/>
      <c r="T8" s="91"/>
      <c r="U8" s="91"/>
      <c r="V8" s="91"/>
      <c r="W8" s="91"/>
      <c r="X8" s="91"/>
      <c r="Y8" s="91"/>
      <c r="Z8" s="91"/>
      <c r="AA8" s="91"/>
      <c r="AB8" s="91"/>
    </row>
    <row r="9" ht="15.75" customHeight="1">
      <c r="A9" s="121">
        <f t="shared" si="1"/>
        <v>6</v>
      </c>
      <c r="B9" s="133" t="s">
        <v>801</v>
      </c>
      <c r="C9" s="121" t="s">
        <v>29</v>
      </c>
      <c r="D9" s="121" t="s">
        <v>42</v>
      </c>
      <c r="E9" s="121">
        <v>6.0</v>
      </c>
      <c r="F9" s="121">
        <v>1.0</v>
      </c>
      <c r="G9" s="121" t="s">
        <v>805</v>
      </c>
      <c r="H9" s="91"/>
      <c r="I9" s="91"/>
      <c r="J9" s="91"/>
      <c r="K9" s="91"/>
      <c r="L9" s="91"/>
      <c r="M9" s="91"/>
      <c r="N9" s="91"/>
      <c r="O9" s="91"/>
      <c r="P9" s="91"/>
      <c r="Q9" s="91"/>
      <c r="R9" s="91"/>
      <c r="S9" s="91"/>
      <c r="T9" s="91"/>
      <c r="U9" s="91"/>
      <c r="V9" s="91"/>
      <c r="W9" s="91"/>
      <c r="X9" s="91"/>
      <c r="Y9" s="91"/>
      <c r="Z9" s="91"/>
      <c r="AA9" s="91"/>
      <c r="AB9" s="91"/>
    </row>
    <row r="10" ht="15.75" customHeight="1">
      <c r="A10" s="121"/>
      <c r="B10" s="133"/>
      <c r="C10" s="121" t="s">
        <v>148</v>
      </c>
      <c r="D10" s="121"/>
      <c r="E10" s="121">
        <v>4.0</v>
      </c>
      <c r="F10" s="121">
        <v>8.0</v>
      </c>
      <c r="G10" s="121"/>
      <c r="H10" s="91"/>
      <c r="I10" s="91"/>
      <c r="J10" s="91"/>
      <c r="K10" s="91"/>
      <c r="L10" s="91"/>
      <c r="M10" s="91"/>
      <c r="N10" s="91"/>
      <c r="O10" s="91"/>
      <c r="P10" s="91"/>
      <c r="Q10" s="91"/>
      <c r="R10" s="91"/>
      <c r="S10" s="91"/>
      <c r="T10" s="91"/>
      <c r="U10" s="91"/>
      <c r="V10" s="91"/>
      <c r="W10" s="91"/>
      <c r="X10" s="91"/>
      <c r="Y10" s="91"/>
      <c r="Z10" s="91"/>
      <c r="AA10" s="91"/>
      <c r="AB10" s="91"/>
    </row>
    <row r="11" ht="15.75" customHeight="1">
      <c r="A11" s="121">
        <f t="shared" ref="A11:A12" si="2">E11*F11</f>
        <v>8</v>
      </c>
      <c r="B11" s="133" t="s">
        <v>806</v>
      </c>
      <c r="C11" s="121" t="s">
        <v>807</v>
      </c>
      <c r="D11" s="121" t="s">
        <v>247</v>
      </c>
      <c r="E11" s="121">
        <v>2.0</v>
      </c>
      <c r="F11" s="121">
        <v>4.0</v>
      </c>
      <c r="G11" s="121" t="s">
        <v>808</v>
      </c>
      <c r="H11" s="91"/>
      <c r="I11" s="91"/>
      <c r="J11" s="91"/>
      <c r="K11" s="91"/>
      <c r="L11" s="91"/>
      <c r="M11" s="91"/>
      <c r="N11" s="91"/>
      <c r="O11" s="91"/>
      <c r="P11" s="91"/>
      <c r="Q11" s="91"/>
      <c r="R11" s="91"/>
      <c r="S11" s="91"/>
      <c r="T11" s="91"/>
      <c r="U11" s="91"/>
      <c r="V11" s="91"/>
      <c r="W11" s="91"/>
      <c r="X11" s="91"/>
      <c r="Y11" s="91"/>
      <c r="Z11" s="91"/>
      <c r="AA11" s="91"/>
      <c r="AB11" s="91"/>
    </row>
    <row r="12" ht="15.75" customHeight="1">
      <c r="A12" s="121">
        <f t="shared" si="2"/>
        <v>120</v>
      </c>
      <c r="B12" s="133" t="s">
        <v>809</v>
      </c>
      <c r="C12" s="121" t="s">
        <v>810</v>
      </c>
      <c r="D12" s="121" t="s">
        <v>254</v>
      </c>
      <c r="E12" s="121">
        <v>15.0</v>
      </c>
      <c r="F12" s="121">
        <v>8.0</v>
      </c>
      <c r="G12" s="121" t="s">
        <v>811</v>
      </c>
      <c r="H12" s="91"/>
      <c r="I12" s="91"/>
      <c r="J12" s="91"/>
      <c r="K12" s="91"/>
      <c r="L12" s="91"/>
      <c r="M12" s="91"/>
      <c r="N12" s="91"/>
      <c r="O12" s="91"/>
      <c r="P12" s="91"/>
      <c r="Q12" s="91"/>
      <c r="R12" s="91"/>
      <c r="S12" s="91"/>
      <c r="T12" s="91"/>
      <c r="U12" s="91"/>
      <c r="V12" s="91"/>
      <c r="W12" s="91"/>
      <c r="X12" s="91"/>
      <c r="Y12" s="91"/>
      <c r="Z12" s="91"/>
      <c r="AA12" s="91"/>
      <c r="AB12" s="91"/>
    </row>
    <row r="13" ht="15.75" customHeight="1">
      <c r="A13" s="121"/>
      <c r="B13" s="133"/>
      <c r="C13" s="121"/>
      <c r="D13" s="121"/>
      <c r="E13" s="121"/>
      <c r="F13" s="121"/>
      <c r="G13" s="121"/>
      <c r="H13" s="91"/>
      <c r="I13" s="91"/>
      <c r="J13" s="91"/>
      <c r="K13" s="91"/>
      <c r="L13" s="91"/>
      <c r="M13" s="91"/>
      <c r="N13" s="91"/>
      <c r="O13" s="91"/>
      <c r="P13" s="91"/>
      <c r="Q13" s="91"/>
      <c r="R13" s="91"/>
      <c r="S13" s="91"/>
      <c r="T13" s="91"/>
      <c r="U13" s="91"/>
      <c r="V13" s="91"/>
      <c r="W13" s="91"/>
      <c r="X13" s="91"/>
      <c r="Y13" s="91"/>
      <c r="Z13" s="91"/>
      <c r="AA13" s="91"/>
      <c r="AB13" s="91"/>
    </row>
    <row r="14" ht="15.75" customHeight="1">
      <c r="A14" s="121"/>
      <c r="B14" s="133"/>
      <c r="C14" s="121"/>
      <c r="D14" s="121"/>
      <c r="E14" s="121"/>
      <c r="F14" s="121"/>
      <c r="G14" s="121"/>
      <c r="H14" s="91"/>
      <c r="I14" s="91"/>
      <c r="J14" s="91"/>
      <c r="K14" s="91"/>
      <c r="L14" s="91"/>
      <c r="M14" s="91"/>
      <c r="N14" s="91"/>
      <c r="O14" s="91"/>
      <c r="P14" s="91"/>
      <c r="Q14" s="91"/>
      <c r="R14" s="91"/>
      <c r="S14" s="91"/>
      <c r="T14" s="91"/>
      <c r="U14" s="91"/>
      <c r="V14" s="91"/>
      <c r="W14" s="91"/>
      <c r="X14" s="91"/>
      <c r="Y14" s="91"/>
      <c r="Z14" s="91"/>
      <c r="AA14" s="91"/>
      <c r="AB14" s="91"/>
    </row>
    <row r="15" ht="15.75" customHeight="1">
      <c r="A15" s="121">
        <f>F15*E15</f>
        <v>0</v>
      </c>
      <c r="B15" s="132"/>
      <c r="C15" s="121"/>
      <c r="D15" s="121"/>
      <c r="E15" s="121"/>
      <c r="F15" s="121"/>
      <c r="G15" s="121"/>
      <c r="H15" s="91"/>
      <c r="I15" s="91"/>
      <c r="J15" s="91"/>
      <c r="K15" s="91"/>
      <c r="L15" s="91"/>
      <c r="M15" s="91"/>
      <c r="N15" s="91"/>
      <c r="O15" s="91"/>
      <c r="P15" s="91"/>
      <c r="Q15" s="91"/>
      <c r="R15" s="91"/>
      <c r="S15" s="91"/>
      <c r="T15" s="91"/>
      <c r="U15" s="91"/>
      <c r="V15" s="91"/>
      <c r="W15" s="91"/>
      <c r="X15" s="91"/>
      <c r="Y15" s="91"/>
      <c r="Z15" s="91"/>
      <c r="AA15" s="91"/>
      <c r="AB15" s="91"/>
    </row>
    <row r="16" ht="15.75" customHeight="1">
      <c r="A16" s="121">
        <v>4.0</v>
      </c>
      <c r="B16" s="132">
        <v>43261.0</v>
      </c>
      <c r="C16" s="121" t="s">
        <v>29</v>
      </c>
      <c r="D16" s="121" t="s">
        <v>812</v>
      </c>
      <c r="E16" s="121">
        <v>4.0</v>
      </c>
      <c r="F16" s="121">
        <v>1.0</v>
      </c>
      <c r="G16" s="121" t="s">
        <v>813</v>
      </c>
      <c r="H16" s="91"/>
      <c r="I16" s="91"/>
      <c r="J16" s="91"/>
      <c r="K16" s="91"/>
      <c r="L16" s="91"/>
      <c r="M16" s="91"/>
      <c r="N16" s="91"/>
      <c r="O16" s="91"/>
      <c r="P16" s="91"/>
      <c r="Q16" s="91"/>
      <c r="R16" s="91"/>
      <c r="S16" s="91"/>
      <c r="T16" s="91"/>
      <c r="U16" s="91"/>
      <c r="V16" s="91"/>
      <c r="W16" s="91"/>
      <c r="X16" s="91"/>
      <c r="Y16" s="91"/>
      <c r="Z16" s="91"/>
      <c r="AA16" s="91"/>
      <c r="AB16" s="91"/>
    </row>
    <row r="17" ht="15.75" customHeight="1">
      <c r="A17" s="121">
        <v>4.0</v>
      </c>
      <c r="B17" s="132">
        <v>43230.0</v>
      </c>
      <c r="C17" s="121" t="s">
        <v>29</v>
      </c>
      <c r="D17" s="121" t="s">
        <v>18</v>
      </c>
      <c r="E17" s="121">
        <v>4.0</v>
      </c>
      <c r="F17" s="121">
        <v>1.0</v>
      </c>
      <c r="G17" s="121" t="s">
        <v>814</v>
      </c>
      <c r="H17" s="91"/>
      <c r="I17" s="91"/>
      <c r="J17" s="91"/>
      <c r="K17" s="91"/>
      <c r="L17" s="91"/>
      <c r="M17" s="91"/>
      <c r="N17" s="91"/>
      <c r="O17" s="91"/>
      <c r="P17" s="91"/>
      <c r="Q17" s="91"/>
      <c r="R17" s="91"/>
      <c r="S17" s="91"/>
      <c r="T17" s="91"/>
      <c r="U17" s="91"/>
      <c r="V17" s="91"/>
      <c r="W17" s="91"/>
      <c r="X17" s="91"/>
      <c r="Y17" s="91"/>
      <c r="Z17" s="91"/>
      <c r="AA17" s="91"/>
      <c r="AB17" s="91"/>
    </row>
    <row r="18" ht="15.75" customHeight="1">
      <c r="A18" s="121">
        <f t="shared" ref="A18:A79" si="3">E18*F18</f>
        <v>3</v>
      </c>
      <c r="B18" s="133" t="s">
        <v>815</v>
      </c>
      <c r="C18" s="121" t="s">
        <v>120</v>
      </c>
      <c r="D18" s="121" t="s">
        <v>816</v>
      </c>
      <c r="E18" s="121">
        <v>3.0</v>
      </c>
      <c r="F18" s="121">
        <v>1.0</v>
      </c>
      <c r="G18" s="121" t="s">
        <v>817</v>
      </c>
      <c r="H18" s="91"/>
      <c r="I18" s="91"/>
      <c r="J18" s="91"/>
      <c r="K18" s="91"/>
      <c r="L18" s="91"/>
      <c r="M18" s="91"/>
      <c r="N18" s="91"/>
      <c r="O18" s="91"/>
      <c r="P18" s="91"/>
      <c r="Q18" s="91"/>
      <c r="R18" s="91"/>
      <c r="S18" s="91"/>
      <c r="T18" s="91"/>
      <c r="U18" s="91"/>
      <c r="V18" s="91"/>
      <c r="W18" s="91"/>
      <c r="X18" s="91"/>
      <c r="Y18" s="91"/>
      <c r="Z18" s="91"/>
      <c r="AA18" s="91"/>
      <c r="AB18" s="91"/>
    </row>
    <row r="19" ht="15.75" customHeight="1">
      <c r="A19" s="121">
        <f t="shared" si="3"/>
        <v>7</v>
      </c>
      <c r="B19" s="132">
        <v>43140.0</v>
      </c>
      <c r="C19" s="121" t="s">
        <v>818</v>
      </c>
      <c r="D19" s="121" t="s">
        <v>254</v>
      </c>
      <c r="E19" s="121">
        <v>7.0</v>
      </c>
      <c r="F19" s="121">
        <v>1.0</v>
      </c>
      <c r="G19" s="121" t="s">
        <v>819</v>
      </c>
      <c r="H19" s="91"/>
      <c r="I19" s="91"/>
      <c r="J19" s="91"/>
      <c r="K19" s="91"/>
      <c r="L19" s="91"/>
      <c r="M19" s="91"/>
      <c r="N19" s="91"/>
      <c r="O19" s="91"/>
      <c r="P19" s="91"/>
      <c r="Q19" s="91"/>
      <c r="R19" s="91"/>
      <c r="S19" s="91"/>
      <c r="T19" s="91"/>
      <c r="U19" s="91"/>
      <c r="V19" s="91"/>
      <c r="W19" s="91"/>
      <c r="X19" s="91"/>
      <c r="Y19" s="91"/>
      <c r="Z19" s="91"/>
      <c r="AA19" s="91"/>
      <c r="AB19" s="91"/>
    </row>
    <row r="20" ht="15.75" customHeight="1">
      <c r="A20" s="121">
        <f t="shared" si="3"/>
        <v>6</v>
      </c>
      <c r="B20" s="132">
        <v>43109.0</v>
      </c>
      <c r="C20" s="121" t="s">
        <v>818</v>
      </c>
      <c r="D20" s="121" t="s">
        <v>254</v>
      </c>
      <c r="E20" s="121">
        <v>6.0</v>
      </c>
      <c r="F20" s="121">
        <v>1.0</v>
      </c>
      <c r="G20" s="121" t="s">
        <v>820</v>
      </c>
      <c r="H20" s="91"/>
      <c r="I20" s="91"/>
      <c r="J20" s="91"/>
      <c r="K20" s="91"/>
      <c r="L20" s="91"/>
      <c r="M20" s="91"/>
      <c r="N20" s="91"/>
      <c r="O20" s="91"/>
      <c r="P20" s="91"/>
      <c r="Q20" s="91"/>
      <c r="R20" s="91"/>
      <c r="S20" s="91"/>
      <c r="T20" s="91"/>
      <c r="U20" s="91"/>
      <c r="V20" s="91"/>
      <c r="W20" s="91"/>
      <c r="X20" s="91"/>
      <c r="Y20" s="91"/>
      <c r="Z20" s="91"/>
      <c r="AA20" s="91"/>
      <c r="AB20" s="91"/>
    </row>
    <row r="21" ht="15.75" customHeight="1">
      <c r="A21" s="121">
        <f t="shared" si="3"/>
        <v>2</v>
      </c>
      <c r="B21" s="133" t="s">
        <v>821</v>
      </c>
      <c r="C21" s="121" t="s">
        <v>822</v>
      </c>
      <c r="D21" s="121" t="s">
        <v>254</v>
      </c>
      <c r="E21" s="121">
        <v>2.0</v>
      </c>
      <c r="F21" s="121">
        <v>1.0</v>
      </c>
      <c r="G21" s="121" t="s">
        <v>823</v>
      </c>
      <c r="H21" s="91"/>
      <c r="I21" s="91"/>
      <c r="J21" s="91"/>
      <c r="K21" s="91"/>
      <c r="L21" s="91"/>
      <c r="M21" s="91"/>
      <c r="N21" s="91"/>
      <c r="O21" s="91"/>
      <c r="P21" s="91"/>
      <c r="Q21" s="91"/>
      <c r="R21" s="91"/>
      <c r="S21" s="91"/>
      <c r="T21" s="91"/>
      <c r="U21" s="91"/>
      <c r="V21" s="91"/>
      <c r="W21" s="91"/>
      <c r="X21" s="91"/>
      <c r="Y21" s="91"/>
      <c r="Z21" s="91"/>
      <c r="AA21" s="91"/>
      <c r="AB21" s="91"/>
    </row>
    <row r="22" ht="15.75" customHeight="1">
      <c r="A22" s="121">
        <f t="shared" si="3"/>
        <v>6</v>
      </c>
      <c r="B22" s="133" t="s">
        <v>824</v>
      </c>
      <c r="C22" s="121" t="s">
        <v>825</v>
      </c>
      <c r="D22" s="121" t="s">
        <v>254</v>
      </c>
      <c r="E22" s="121">
        <v>6.0</v>
      </c>
      <c r="F22" s="121">
        <v>1.0</v>
      </c>
      <c r="G22" s="121" t="s">
        <v>826</v>
      </c>
      <c r="H22" s="91"/>
      <c r="I22" s="91"/>
      <c r="J22" s="91"/>
      <c r="K22" s="91"/>
      <c r="L22" s="91"/>
      <c r="M22" s="91"/>
      <c r="N22" s="91"/>
      <c r="O22" s="91"/>
      <c r="P22" s="91"/>
      <c r="Q22" s="91"/>
      <c r="R22" s="91"/>
      <c r="S22" s="91"/>
      <c r="T22" s="91"/>
      <c r="U22" s="91"/>
      <c r="V22" s="91"/>
      <c r="W22" s="91"/>
      <c r="X22" s="91"/>
      <c r="Y22" s="91"/>
      <c r="Z22" s="91"/>
      <c r="AA22" s="91"/>
      <c r="AB22" s="91"/>
    </row>
    <row r="23" ht="15.75" customHeight="1">
      <c r="A23" s="121">
        <f t="shared" si="3"/>
        <v>5</v>
      </c>
      <c r="B23" s="133" t="s">
        <v>827</v>
      </c>
      <c r="C23" s="121" t="s">
        <v>36</v>
      </c>
      <c r="D23" s="121" t="s">
        <v>828</v>
      </c>
      <c r="E23" s="121">
        <v>5.0</v>
      </c>
      <c r="F23" s="121">
        <v>1.0</v>
      </c>
      <c r="G23" s="121" t="s">
        <v>829</v>
      </c>
      <c r="H23" s="91"/>
      <c r="I23" s="91"/>
      <c r="J23" s="91"/>
      <c r="K23" s="91"/>
      <c r="L23" s="91"/>
      <c r="M23" s="91"/>
      <c r="N23" s="91"/>
      <c r="O23" s="91"/>
      <c r="P23" s="91"/>
      <c r="Q23" s="91"/>
      <c r="R23" s="91"/>
      <c r="S23" s="91"/>
      <c r="T23" s="91"/>
      <c r="U23" s="91"/>
      <c r="V23" s="91"/>
      <c r="W23" s="91"/>
      <c r="X23" s="91"/>
      <c r="Y23" s="91"/>
      <c r="Z23" s="91"/>
      <c r="AA23" s="91"/>
      <c r="AB23" s="91"/>
    </row>
    <row r="24" ht="15.75" customHeight="1">
      <c r="A24" s="121">
        <f t="shared" si="3"/>
        <v>3</v>
      </c>
      <c r="B24" s="133" t="s">
        <v>830</v>
      </c>
      <c r="C24" s="121" t="s">
        <v>831</v>
      </c>
      <c r="D24" s="121" t="s">
        <v>254</v>
      </c>
      <c r="E24" s="121">
        <v>3.0</v>
      </c>
      <c r="F24" s="121">
        <v>1.0</v>
      </c>
      <c r="G24" s="121" t="s">
        <v>798</v>
      </c>
      <c r="H24" s="91"/>
      <c r="I24" s="91"/>
      <c r="J24" s="91"/>
      <c r="K24" s="91"/>
      <c r="L24" s="91"/>
      <c r="M24" s="91"/>
      <c r="N24" s="91"/>
      <c r="O24" s="91"/>
      <c r="P24" s="91"/>
      <c r="Q24" s="91"/>
      <c r="R24" s="91"/>
      <c r="S24" s="91"/>
      <c r="T24" s="91"/>
      <c r="U24" s="91"/>
      <c r="V24" s="91"/>
      <c r="W24" s="91"/>
      <c r="X24" s="91"/>
      <c r="Y24" s="91"/>
      <c r="Z24" s="91"/>
      <c r="AA24" s="91"/>
      <c r="AB24" s="91"/>
    </row>
    <row r="25" ht="15.75" customHeight="1">
      <c r="A25" s="121">
        <f t="shared" si="3"/>
        <v>3</v>
      </c>
      <c r="B25" s="133" t="s">
        <v>832</v>
      </c>
      <c r="C25" s="121" t="s">
        <v>831</v>
      </c>
      <c r="D25" s="121" t="s">
        <v>254</v>
      </c>
      <c r="E25" s="121">
        <v>3.0</v>
      </c>
      <c r="F25" s="121">
        <v>1.0</v>
      </c>
      <c r="G25" s="121" t="s">
        <v>798</v>
      </c>
      <c r="H25" s="91"/>
      <c r="I25" s="91"/>
      <c r="J25" s="91"/>
      <c r="K25" s="91"/>
      <c r="L25" s="91"/>
      <c r="M25" s="91"/>
      <c r="N25" s="91"/>
      <c r="O25" s="91"/>
      <c r="P25" s="91"/>
      <c r="Q25" s="91"/>
      <c r="R25" s="91"/>
      <c r="S25" s="91"/>
      <c r="T25" s="91"/>
      <c r="U25" s="91"/>
      <c r="V25" s="91"/>
      <c r="W25" s="91"/>
      <c r="X25" s="91"/>
      <c r="Y25" s="91"/>
      <c r="Z25" s="91"/>
      <c r="AA25" s="91"/>
      <c r="AB25" s="91"/>
    </row>
    <row r="26" ht="15.75" customHeight="1">
      <c r="A26" s="121">
        <f t="shared" si="3"/>
        <v>12</v>
      </c>
      <c r="B26" s="133" t="s">
        <v>833</v>
      </c>
      <c r="C26" s="121" t="s">
        <v>175</v>
      </c>
      <c r="D26" s="121" t="s">
        <v>254</v>
      </c>
      <c r="E26" s="121">
        <v>4.0</v>
      </c>
      <c r="F26" s="121">
        <v>3.0</v>
      </c>
      <c r="G26" s="121" t="s">
        <v>798</v>
      </c>
      <c r="H26" s="91"/>
      <c r="I26" s="91"/>
      <c r="J26" s="91"/>
      <c r="K26" s="91"/>
      <c r="L26" s="91"/>
      <c r="M26" s="91"/>
      <c r="N26" s="91"/>
      <c r="O26" s="91"/>
      <c r="P26" s="91"/>
      <c r="Q26" s="91"/>
      <c r="R26" s="91"/>
      <c r="S26" s="91"/>
      <c r="T26" s="91"/>
      <c r="U26" s="91"/>
      <c r="V26" s="91"/>
      <c r="W26" s="91"/>
      <c r="X26" s="91"/>
      <c r="Y26" s="91"/>
      <c r="Z26" s="91"/>
      <c r="AA26" s="91"/>
      <c r="AB26" s="91"/>
    </row>
    <row r="27" ht="15.75" customHeight="1">
      <c r="A27" s="121">
        <f t="shared" si="3"/>
        <v>2</v>
      </c>
      <c r="B27" s="132">
        <v>43442.0</v>
      </c>
      <c r="C27" s="121" t="s">
        <v>31</v>
      </c>
      <c r="D27" s="121" t="s">
        <v>254</v>
      </c>
      <c r="E27" s="121">
        <v>2.0</v>
      </c>
      <c r="F27" s="121">
        <v>1.0</v>
      </c>
      <c r="G27" s="121" t="s">
        <v>798</v>
      </c>
      <c r="H27" s="91"/>
      <c r="I27" s="91"/>
      <c r="J27" s="91"/>
      <c r="K27" s="91"/>
      <c r="L27" s="91"/>
      <c r="M27" s="91"/>
      <c r="N27" s="91"/>
      <c r="O27" s="91"/>
      <c r="P27" s="91"/>
      <c r="Q27" s="91"/>
      <c r="R27" s="91"/>
      <c r="S27" s="91"/>
      <c r="T27" s="91"/>
      <c r="U27" s="91"/>
      <c r="V27" s="91"/>
      <c r="W27" s="91"/>
      <c r="X27" s="91"/>
      <c r="Y27" s="91"/>
      <c r="Z27" s="91"/>
      <c r="AA27" s="91"/>
      <c r="AB27" s="91"/>
    </row>
    <row r="28" ht="15.75" customHeight="1">
      <c r="A28" s="121">
        <f t="shared" si="3"/>
        <v>3</v>
      </c>
      <c r="B28" s="132">
        <v>43412.0</v>
      </c>
      <c r="C28" s="121" t="s">
        <v>834</v>
      </c>
      <c r="D28" s="121" t="s">
        <v>254</v>
      </c>
      <c r="E28" s="121">
        <v>3.0</v>
      </c>
      <c r="F28" s="121">
        <v>1.0</v>
      </c>
      <c r="G28" s="121" t="s">
        <v>835</v>
      </c>
      <c r="H28" s="91"/>
      <c r="I28" s="91"/>
      <c r="J28" s="91"/>
      <c r="K28" s="91"/>
      <c r="L28" s="91"/>
      <c r="M28" s="91"/>
      <c r="N28" s="91"/>
      <c r="O28" s="91"/>
      <c r="P28" s="91"/>
      <c r="Q28" s="91"/>
      <c r="R28" s="91"/>
      <c r="S28" s="91"/>
      <c r="T28" s="91"/>
      <c r="U28" s="91"/>
      <c r="V28" s="91"/>
      <c r="W28" s="91"/>
      <c r="X28" s="91"/>
      <c r="Y28" s="91"/>
      <c r="Z28" s="91"/>
      <c r="AA28" s="91"/>
      <c r="AB28" s="91"/>
    </row>
    <row r="29" ht="15.75" customHeight="1">
      <c r="A29" s="121">
        <f t="shared" si="3"/>
        <v>4</v>
      </c>
      <c r="B29" s="132">
        <v>43381.0</v>
      </c>
      <c r="C29" s="121" t="s">
        <v>175</v>
      </c>
      <c r="D29" s="121" t="s">
        <v>176</v>
      </c>
      <c r="E29" s="121">
        <v>4.0</v>
      </c>
      <c r="F29" s="121">
        <v>1.0</v>
      </c>
      <c r="G29" s="121" t="s">
        <v>836</v>
      </c>
      <c r="H29" s="91"/>
      <c r="I29" s="91"/>
      <c r="J29" s="91"/>
      <c r="K29" s="91"/>
      <c r="L29" s="91"/>
      <c r="M29" s="91"/>
      <c r="N29" s="91"/>
      <c r="O29" s="91"/>
      <c r="P29" s="91"/>
      <c r="Q29" s="91"/>
      <c r="R29" s="91"/>
      <c r="S29" s="91"/>
      <c r="T29" s="91"/>
      <c r="U29" s="91"/>
      <c r="V29" s="91"/>
      <c r="W29" s="91"/>
      <c r="X29" s="91"/>
      <c r="Y29" s="91"/>
      <c r="Z29" s="91"/>
      <c r="AA29" s="91"/>
      <c r="AB29" s="91"/>
    </row>
    <row r="30" ht="15.75" customHeight="1">
      <c r="A30" s="121">
        <f t="shared" si="3"/>
        <v>4</v>
      </c>
      <c r="B30" s="132">
        <v>43198.0</v>
      </c>
      <c r="C30" s="121" t="s">
        <v>104</v>
      </c>
      <c r="D30" s="121" t="s">
        <v>837</v>
      </c>
      <c r="E30" s="121">
        <v>4.0</v>
      </c>
      <c r="F30" s="121">
        <v>1.0</v>
      </c>
      <c r="G30" s="121" t="s">
        <v>838</v>
      </c>
      <c r="H30" s="91"/>
      <c r="I30" s="91"/>
      <c r="J30" s="91"/>
      <c r="K30" s="91"/>
      <c r="L30" s="91"/>
      <c r="M30" s="91"/>
      <c r="N30" s="91"/>
      <c r="O30" s="91"/>
      <c r="P30" s="91"/>
      <c r="Q30" s="91"/>
      <c r="R30" s="91"/>
      <c r="S30" s="91"/>
      <c r="T30" s="91"/>
      <c r="U30" s="91"/>
      <c r="V30" s="91"/>
      <c r="W30" s="91"/>
      <c r="X30" s="91"/>
      <c r="Y30" s="91"/>
      <c r="Z30" s="91"/>
      <c r="AA30" s="91"/>
      <c r="AB30" s="91"/>
    </row>
    <row r="31" ht="15.75" customHeight="1">
      <c r="A31" s="121">
        <f t="shared" si="3"/>
        <v>3</v>
      </c>
      <c r="B31" s="133" t="s">
        <v>839</v>
      </c>
      <c r="C31" s="121" t="s">
        <v>26</v>
      </c>
      <c r="D31" s="121" t="s">
        <v>176</v>
      </c>
      <c r="E31" s="121">
        <v>3.0</v>
      </c>
      <c r="F31" s="121">
        <v>1.0</v>
      </c>
      <c r="G31" s="121" t="s">
        <v>840</v>
      </c>
      <c r="H31" s="91"/>
      <c r="I31" s="91"/>
      <c r="J31" s="91"/>
      <c r="K31" s="91"/>
      <c r="L31" s="91"/>
      <c r="M31" s="91"/>
      <c r="N31" s="91"/>
      <c r="O31" s="91"/>
      <c r="P31" s="91"/>
      <c r="Q31" s="91"/>
      <c r="R31" s="91"/>
      <c r="S31" s="91"/>
      <c r="T31" s="91"/>
      <c r="U31" s="91"/>
      <c r="V31" s="91"/>
      <c r="W31" s="91"/>
      <c r="X31" s="91"/>
      <c r="Y31" s="91"/>
      <c r="Z31" s="91"/>
      <c r="AA31" s="91"/>
      <c r="AB31" s="91"/>
    </row>
    <row r="32" ht="15.75" customHeight="1">
      <c r="A32" s="121">
        <f t="shared" si="3"/>
        <v>3</v>
      </c>
      <c r="B32" s="133" t="s">
        <v>841</v>
      </c>
      <c r="C32" s="121" t="s">
        <v>175</v>
      </c>
      <c r="D32" s="121" t="s">
        <v>176</v>
      </c>
      <c r="E32" s="121">
        <v>3.0</v>
      </c>
      <c r="F32" s="121">
        <v>1.0</v>
      </c>
      <c r="G32" s="121" t="s">
        <v>842</v>
      </c>
      <c r="H32" s="91"/>
      <c r="I32" s="91"/>
      <c r="J32" s="91"/>
      <c r="K32" s="91"/>
      <c r="L32" s="91"/>
      <c r="M32" s="91"/>
      <c r="N32" s="91"/>
      <c r="O32" s="91"/>
      <c r="P32" s="91"/>
      <c r="Q32" s="91"/>
      <c r="R32" s="91"/>
      <c r="S32" s="91"/>
      <c r="T32" s="91"/>
      <c r="U32" s="91"/>
      <c r="V32" s="91"/>
      <c r="W32" s="91"/>
      <c r="X32" s="91"/>
      <c r="Y32" s="91"/>
      <c r="Z32" s="91"/>
      <c r="AA32" s="91"/>
      <c r="AB32" s="91"/>
    </row>
    <row r="33" ht="15.75" customHeight="1">
      <c r="A33" s="121">
        <f t="shared" si="3"/>
        <v>6</v>
      </c>
      <c r="B33" s="133" t="s">
        <v>843</v>
      </c>
      <c r="C33" s="121" t="s">
        <v>175</v>
      </c>
      <c r="D33" s="121" t="s">
        <v>254</v>
      </c>
      <c r="E33" s="121">
        <v>6.0</v>
      </c>
      <c r="F33" s="121">
        <v>1.0</v>
      </c>
      <c r="G33" s="121" t="s">
        <v>844</v>
      </c>
      <c r="H33" s="91"/>
      <c r="I33" s="91"/>
      <c r="J33" s="91"/>
      <c r="K33" s="91"/>
      <c r="L33" s="91"/>
      <c r="M33" s="91"/>
      <c r="N33" s="91"/>
      <c r="O33" s="91"/>
      <c r="P33" s="91"/>
      <c r="Q33" s="91"/>
      <c r="R33" s="91"/>
      <c r="S33" s="91"/>
      <c r="T33" s="91"/>
      <c r="U33" s="91"/>
      <c r="V33" s="91"/>
      <c r="W33" s="91"/>
      <c r="X33" s="91"/>
      <c r="Y33" s="91"/>
      <c r="Z33" s="91"/>
      <c r="AA33" s="91"/>
      <c r="AB33" s="91"/>
    </row>
    <row r="34" ht="15.75" customHeight="1">
      <c r="A34" s="121">
        <f t="shared" si="3"/>
        <v>6</v>
      </c>
      <c r="B34" s="133" t="s">
        <v>845</v>
      </c>
      <c r="C34" s="121" t="s">
        <v>846</v>
      </c>
      <c r="D34" s="121" t="s">
        <v>247</v>
      </c>
      <c r="E34" s="121">
        <v>6.0</v>
      </c>
      <c r="F34" s="121">
        <v>1.0</v>
      </c>
      <c r="G34" s="121" t="s">
        <v>847</v>
      </c>
      <c r="H34" s="91"/>
      <c r="I34" s="91"/>
      <c r="J34" s="91"/>
      <c r="K34" s="91"/>
      <c r="L34" s="91"/>
      <c r="M34" s="91"/>
      <c r="N34" s="91"/>
      <c r="O34" s="91"/>
      <c r="P34" s="91"/>
      <c r="Q34" s="91"/>
      <c r="R34" s="91"/>
      <c r="S34" s="91"/>
      <c r="T34" s="91"/>
      <c r="U34" s="91"/>
      <c r="V34" s="91"/>
      <c r="W34" s="91"/>
      <c r="X34" s="91"/>
      <c r="Y34" s="91"/>
      <c r="Z34" s="91"/>
      <c r="AA34" s="91"/>
      <c r="AB34" s="91"/>
    </row>
    <row r="35" ht="15.75" customHeight="1">
      <c r="A35" s="121">
        <f t="shared" si="3"/>
        <v>7</v>
      </c>
      <c r="B35" s="132">
        <v>43319.0</v>
      </c>
      <c r="C35" s="121" t="s">
        <v>104</v>
      </c>
      <c r="D35" s="121" t="s">
        <v>145</v>
      </c>
      <c r="E35" s="121">
        <v>7.0</v>
      </c>
      <c r="F35" s="121">
        <v>1.0</v>
      </c>
      <c r="G35" s="121" t="s">
        <v>848</v>
      </c>
      <c r="H35" s="91"/>
      <c r="I35" s="91"/>
      <c r="J35" s="91"/>
      <c r="K35" s="91"/>
      <c r="L35" s="91"/>
      <c r="M35" s="91"/>
      <c r="N35" s="91"/>
      <c r="O35" s="91"/>
      <c r="P35" s="91"/>
      <c r="Q35" s="91"/>
      <c r="R35" s="91"/>
      <c r="S35" s="91"/>
      <c r="T35" s="91"/>
      <c r="U35" s="91"/>
      <c r="V35" s="91"/>
      <c r="W35" s="91"/>
      <c r="X35" s="91"/>
      <c r="Y35" s="91"/>
      <c r="Z35" s="91"/>
      <c r="AA35" s="91"/>
      <c r="AB35" s="91"/>
    </row>
    <row r="36" ht="15.75" customHeight="1">
      <c r="A36" s="121">
        <f t="shared" si="3"/>
        <v>6</v>
      </c>
      <c r="B36" s="132">
        <v>43107.0</v>
      </c>
      <c r="C36" s="121" t="s">
        <v>140</v>
      </c>
      <c r="D36" s="121" t="s">
        <v>145</v>
      </c>
      <c r="E36" s="121">
        <v>6.0</v>
      </c>
      <c r="F36" s="121">
        <v>1.0</v>
      </c>
      <c r="G36" s="121" t="s">
        <v>849</v>
      </c>
      <c r="H36" s="91"/>
      <c r="I36" s="91"/>
      <c r="J36" s="91"/>
      <c r="K36" s="91"/>
      <c r="L36" s="91"/>
      <c r="M36" s="91"/>
      <c r="N36" s="91"/>
      <c r="O36" s="91"/>
      <c r="P36" s="91"/>
      <c r="Q36" s="91"/>
      <c r="R36" s="91"/>
      <c r="S36" s="91"/>
      <c r="T36" s="91"/>
      <c r="U36" s="91"/>
      <c r="V36" s="91"/>
      <c r="W36" s="91"/>
      <c r="X36" s="91"/>
      <c r="Y36" s="91"/>
      <c r="Z36" s="91"/>
      <c r="AA36" s="91"/>
      <c r="AB36" s="91"/>
    </row>
    <row r="37" ht="15.75" customHeight="1">
      <c r="A37" s="121">
        <f t="shared" si="3"/>
        <v>32</v>
      </c>
      <c r="B37" s="133" t="s">
        <v>850</v>
      </c>
      <c r="C37" s="121" t="s">
        <v>198</v>
      </c>
      <c r="D37" s="121" t="s">
        <v>531</v>
      </c>
      <c r="E37" s="121">
        <v>4.0</v>
      </c>
      <c r="F37" s="121">
        <v>8.0</v>
      </c>
      <c r="G37" s="121" t="s">
        <v>851</v>
      </c>
      <c r="H37" s="91"/>
      <c r="I37" s="91"/>
      <c r="J37" s="91"/>
      <c r="K37" s="91"/>
      <c r="L37" s="91"/>
      <c r="M37" s="91"/>
      <c r="N37" s="91"/>
      <c r="O37" s="91"/>
      <c r="P37" s="91"/>
      <c r="Q37" s="91"/>
      <c r="R37" s="91"/>
      <c r="S37" s="91"/>
      <c r="T37" s="91"/>
      <c r="U37" s="91"/>
      <c r="V37" s="91"/>
      <c r="W37" s="91"/>
      <c r="X37" s="91"/>
      <c r="Y37" s="91"/>
      <c r="Z37" s="91"/>
      <c r="AA37" s="91"/>
      <c r="AB37" s="91"/>
    </row>
    <row r="38" ht="15.75" customHeight="1">
      <c r="A38" s="121">
        <f t="shared" si="3"/>
        <v>6</v>
      </c>
      <c r="B38" s="133" t="s">
        <v>852</v>
      </c>
      <c r="C38" s="121" t="s">
        <v>853</v>
      </c>
      <c r="D38" s="121"/>
      <c r="E38" s="121">
        <v>2.0</v>
      </c>
      <c r="F38" s="121">
        <v>3.0</v>
      </c>
      <c r="G38" s="121" t="s">
        <v>854</v>
      </c>
      <c r="H38" s="91"/>
      <c r="I38" s="91"/>
      <c r="J38" s="91"/>
      <c r="K38" s="91"/>
      <c r="L38" s="91"/>
      <c r="M38" s="91"/>
      <c r="N38" s="91"/>
      <c r="O38" s="91"/>
      <c r="P38" s="91"/>
      <c r="Q38" s="91"/>
      <c r="R38" s="91"/>
      <c r="S38" s="91"/>
      <c r="T38" s="91"/>
      <c r="U38" s="91"/>
      <c r="V38" s="91"/>
      <c r="W38" s="91"/>
      <c r="X38" s="91"/>
      <c r="Y38" s="91"/>
      <c r="Z38" s="91"/>
      <c r="AA38" s="91"/>
      <c r="AB38" s="91"/>
    </row>
    <row r="39" ht="15.75" customHeight="1">
      <c r="A39" s="121">
        <f t="shared" si="3"/>
        <v>2</v>
      </c>
      <c r="B39" s="133" t="s">
        <v>852</v>
      </c>
      <c r="C39" s="121" t="s">
        <v>287</v>
      </c>
      <c r="D39" s="121" t="s">
        <v>694</v>
      </c>
      <c r="E39" s="121">
        <v>2.0</v>
      </c>
      <c r="F39" s="121">
        <v>1.0</v>
      </c>
      <c r="G39" s="121" t="s">
        <v>855</v>
      </c>
      <c r="H39" s="91"/>
      <c r="I39" s="91"/>
      <c r="J39" s="91"/>
      <c r="K39" s="91"/>
      <c r="L39" s="91"/>
      <c r="M39" s="91"/>
      <c r="N39" s="91"/>
      <c r="O39" s="91"/>
      <c r="P39" s="91"/>
      <c r="Q39" s="91"/>
      <c r="R39" s="91"/>
      <c r="S39" s="91"/>
      <c r="T39" s="91"/>
      <c r="U39" s="91"/>
      <c r="V39" s="91"/>
      <c r="W39" s="91"/>
      <c r="X39" s="91"/>
      <c r="Y39" s="91"/>
      <c r="Z39" s="91"/>
      <c r="AA39" s="91"/>
      <c r="AB39" s="91"/>
    </row>
    <row r="40" ht="33.0" customHeight="1">
      <c r="A40" s="121">
        <f t="shared" si="3"/>
        <v>4</v>
      </c>
      <c r="B40" s="133" t="s">
        <v>856</v>
      </c>
      <c r="C40" s="121" t="s">
        <v>250</v>
      </c>
      <c r="D40" s="121" t="s">
        <v>694</v>
      </c>
      <c r="E40" s="121">
        <v>4.0</v>
      </c>
      <c r="F40" s="121">
        <v>1.0</v>
      </c>
      <c r="G40" s="121" t="s">
        <v>857</v>
      </c>
      <c r="H40" s="91"/>
      <c r="I40" s="91"/>
      <c r="J40" s="91"/>
      <c r="K40" s="91"/>
      <c r="L40" s="91"/>
      <c r="M40" s="91"/>
      <c r="N40" s="91"/>
      <c r="O40" s="91"/>
      <c r="P40" s="91"/>
      <c r="Q40" s="91"/>
      <c r="R40" s="91"/>
      <c r="S40" s="91"/>
      <c r="T40" s="91"/>
      <c r="U40" s="91"/>
      <c r="V40" s="91"/>
      <c r="W40" s="91"/>
      <c r="X40" s="91"/>
      <c r="Y40" s="91"/>
      <c r="Z40" s="91"/>
      <c r="AA40" s="91"/>
      <c r="AB40" s="91"/>
    </row>
    <row r="41" ht="15.75" customHeight="1">
      <c r="A41" s="121">
        <f t="shared" si="3"/>
        <v>24</v>
      </c>
      <c r="B41" s="133" t="s">
        <v>858</v>
      </c>
      <c r="C41" s="121" t="s">
        <v>603</v>
      </c>
      <c r="D41" s="121" t="s">
        <v>247</v>
      </c>
      <c r="E41" s="121">
        <v>4.0</v>
      </c>
      <c r="F41" s="121">
        <v>6.0</v>
      </c>
      <c r="G41" s="121" t="s">
        <v>859</v>
      </c>
      <c r="H41" s="91"/>
      <c r="I41" s="91"/>
      <c r="J41" s="91"/>
      <c r="K41" s="91"/>
      <c r="L41" s="91"/>
      <c r="M41" s="91"/>
      <c r="N41" s="91"/>
      <c r="O41" s="91"/>
      <c r="P41" s="91"/>
      <c r="Q41" s="91"/>
      <c r="R41" s="91"/>
      <c r="S41" s="91"/>
      <c r="T41" s="91"/>
      <c r="U41" s="91"/>
      <c r="V41" s="91"/>
      <c r="W41" s="91"/>
      <c r="X41" s="91"/>
      <c r="Y41" s="91"/>
      <c r="Z41" s="91"/>
      <c r="AA41" s="91"/>
      <c r="AB41" s="91"/>
    </row>
    <row r="42" ht="15.75" customHeight="1">
      <c r="A42" s="121">
        <f t="shared" si="3"/>
        <v>18</v>
      </c>
      <c r="B42" s="133" t="s">
        <v>860</v>
      </c>
      <c r="C42" s="121" t="s">
        <v>861</v>
      </c>
      <c r="D42" s="121" t="s">
        <v>254</v>
      </c>
      <c r="E42" s="121">
        <v>2.0</v>
      </c>
      <c r="F42" s="121">
        <v>9.0</v>
      </c>
      <c r="G42" s="121" t="s">
        <v>862</v>
      </c>
      <c r="H42" s="91"/>
      <c r="I42" s="91"/>
      <c r="J42" s="91"/>
      <c r="K42" s="91"/>
      <c r="L42" s="91"/>
      <c r="M42" s="91"/>
      <c r="N42" s="91"/>
      <c r="O42" s="91"/>
      <c r="P42" s="91"/>
      <c r="Q42" s="91"/>
      <c r="R42" s="91"/>
      <c r="S42" s="91"/>
      <c r="T42" s="91"/>
      <c r="U42" s="91"/>
      <c r="V42" s="91"/>
      <c r="W42" s="91"/>
      <c r="X42" s="91"/>
      <c r="Y42" s="91"/>
      <c r="Z42" s="91"/>
      <c r="AA42" s="91"/>
      <c r="AB42" s="91"/>
    </row>
    <row r="43" ht="15.75" customHeight="1">
      <c r="A43" s="121">
        <f t="shared" si="3"/>
        <v>2</v>
      </c>
      <c r="B43" s="133" t="s">
        <v>860</v>
      </c>
      <c r="C43" s="121" t="s">
        <v>606</v>
      </c>
      <c r="D43" s="121" t="s">
        <v>145</v>
      </c>
      <c r="E43" s="121">
        <v>2.0</v>
      </c>
      <c r="F43" s="121">
        <v>1.0</v>
      </c>
      <c r="G43" s="121" t="s">
        <v>863</v>
      </c>
      <c r="H43" s="91"/>
      <c r="I43" s="91"/>
      <c r="J43" s="91"/>
      <c r="K43" s="91"/>
      <c r="L43" s="91"/>
      <c r="M43" s="91"/>
      <c r="N43" s="91"/>
      <c r="O43" s="91"/>
      <c r="P43" s="91"/>
      <c r="Q43" s="91"/>
      <c r="R43" s="91"/>
      <c r="S43" s="91"/>
      <c r="T43" s="91"/>
      <c r="U43" s="91"/>
      <c r="V43" s="91"/>
      <c r="W43" s="91"/>
      <c r="X43" s="91"/>
      <c r="Y43" s="91"/>
      <c r="Z43" s="91"/>
      <c r="AA43" s="91"/>
      <c r="AB43" s="91"/>
    </row>
    <row r="44" ht="15.75" customHeight="1">
      <c r="A44" s="121">
        <f t="shared" si="3"/>
        <v>9</v>
      </c>
      <c r="B44" s="132">
        <v>43137.0</v>
      </c>
      <c r="C44" s="121" t="s">
        <v>214</v>
      </c>
      <c r="D44" s="121"/>
      <c r="E44" s="121">
        <v>9.0</v>
      </c>
      <c r="F44" s="121">
        <v>1.0</v>
      </c>
      <c r="G44" s="121" t="s">
        <v>864</v>
      </c>
      <c r="H44" s="91"/>
      <c r="I44" s="91"/>
      <c r="J44" s="91"/>
      <c r="K44" s="91"/>
      <c r="L44" s="91"/>
      <c r="M44" s="91"/>
      <c r="N44" s="91"/>
      <c r="O44" s="91"/>
      <c r="P44" s="91"/>
      <c r="Q44" s="91"/>
      <c r="R44" s="91"/>
      <c r="S44" s="91"/>
      <c r="T44" s="91"/>
      <c r="U44" s="91"/>
      <c r="V44" s="91"/>
      <c r="W44" s="91"/>
      <c r="X44" s="91"/>
      <c r="Y44" s="91"/>
      <c r="Z44" s="91"/>
      <c r="AA44" s="91"/>
      <c r="AB44" s="91"/>
    </row>
    <row r="45" ht="15.75" customHeight="1">
      <c r="A45" s="121">
        <f t="shared" si="3"/>
        <v>3</v>
      </c>
      <c r="B45" s="132">
        <v>43137.0</v>
      </c>
      <c r="C45" s="121" t="s">
        <v>865</v>
      </c>
      <c r="D45" s="121"/>
      <c r="E45" s="121">
        <v>3.0</v>
      </c>
      <c r="F45" s="121">
        <v>1.0</v>
      </c>
      <c r="G45" s="121" t="s">
        <v>866</v>
      </c>
      <c r="H45" s="91"/>
      <c r="I45" s="91"/>
      <c r="J45" s="91"/>
      <c r="K45" s="91"/>
      <c r="L45" s="91"/>
      <c r="M45" s="91"/>
      <c r="N45" s="91"/>
      <c r="O45" s="91"/>
      <c r="P45" s="91"/>
      <c r="Q45" s="91"/>
      <c r="R45" s="91"/>
      <c r="S45" s="91"/>
      <c r="T45" s="91"/>
      <c r="U45" s="91"/>
      <c r="V45" s="91"/>
      <c r="W45" s="91"/>
      <c r="X45" s="91"/>
      <c r="Y45" s="91"/>
      <c r="Z45" s="91"/>
      <c r="AA45" s="91"/>
      <c r="AB45" s="91"/>
    </row>
    <row r="46" ht="15.75" customHeight="1">
      <c r="A46" s="121">
        <f t="shared" si="3"/>
        <v>10</v>
      </c>
      <c r="B46" s="132">
        <v>43165.0</v>
      </c>
      <c r="C46" s="121" t="s">
        <v>140</v>
      </c>
      <c r="D46" s="121" t="s">
        <v>254</v>
      </c>
      <c r="E46" s="121">
        <v>10.0</v>
      </c>
      <c r="F46" s="121">
        <v>1.0</v>
      </c>
      <c r="G46" s="121" t="s">
        <v>867</v>
      </c>
      <c r="H46" s="91"/>
      <c r="I46" s="91"/>
      <c r="J46" s="91"/>
      <c r="K46" s="91"/>
      <c r="L46" s="91"/>
      <c r="M46" s="91"/>
      <c r="N46" s="91"/>
      <c r="O46" s="91"/>
      <c r="P46" s="91"/>
      <c r="Q46" s="91"/>
      <c r="R46" s="91"/>
      <c r="S46" s="91"/>
      <c r="T46" s="91"/>
      <c r="U46" s="91"/>
      <c r="V46" s="91"/>
      <c r="W46" s="91"/>
      <c r="X46" s="91"/>
      <c r="Y46" s="91"/>
      <c r="Z46" s="91"/>
      <c r="AA46" s="91"/>
      <c r="AB46" s="91"/>
    </row>
    <row r="47" ht="15.75" customHeight="1">
      <c r="A47" s="121">
        <f t="shared" si="3"/>
        <v>3</v>
      </c>
      <c r="B47" s="132">
        <v>43165.0</v>
      </c>
      <c r="C47" s="121" t="s">
        <v>243</v>
      </c>
      <c r="D47" s="121"/>
      <c r="E47" s="121">
        <v>3.0</v>
      </c>
      <c r="F47" s="121">
        <v>1.0</v>
      </c>
      <c r="G47" s="121" t="s">
        <v>868</v>
      </c>
      <c r="H47" s="91"/>
      <c r="I47" s="91"/>
      <c r="J47" s="91"/>
      <c r="K47" s="91"/>
      <c r="L47" s="91"/>
      <c r="M47" s="91"/>
      <c r="N47" s="91"/>
      <c r="O47" s="91"/>
      <c r="P47" s="91"/>
      <c r="Q47" s="91"/>
      <c r="R47" s="91"/>
      <c r="S47" s="91"/>
      <c r="T47" s="91"/>
      <c r="U47" s="91"/>
      <c r="V47" s="91"/>
      <c r="W47" s="91"/>
      <c r="X47" s="91"/>
      <c r="Y47" s="91"/>
      <c r="Z47" s="91"/>
      <c r="AA47" s="91"/>
      <c r="AB47" s="91"/>
    </row>
    <row r="48" ht="15.75" customHeight="1">
      <c r="A48" s="121">
        <f t="shared" si="3"/>
        <v>4</v>
      </c>
      <c r="B48" s="132">
        <v>43137.0</v>
      </c>
      <c r="C48" s="121" t="s">
        <v>831</v>
      </c>
      <c r="D48" s="121" t="s">
        <v>254</v>
      </c>
      <c r="E48" s="121">
        <v>1.0</v>
      </c>
      <c r="F48" s="121">
        <v>4.0</v>
      </c>
      <c r="G48" s="121" t="s">
        <v>869</v>
      </c>
      <c r="H48" s="91"/>
      <c r="I48" s="91"/>
      <c r="J48" s="91"/>
      <c r="K48" s="91"/>
      <c r="L48" s="91"/>
      <c r="M48" s="91"/>
      <c r="N48" s="91"/>
      <c r="O48" s="91"/>
      <c r="P48" s="91"/>
      <c r="Q48" s="91"/>
      <c r="R48" s="91"/>
      <c r="S48" s="91"/>
      <c r="T48" s="91"/>
      <c r="U48" s="91"/>
      <c r="V48" s="91"/>
      <c r="W48" s="91"/>
      <c r="X48" s="91"/>
      <c r="Y48" s="91"/>
      <c r="Z48" s="91"/>
      <c r="AA48" s="91"/>
      <c r="AB48" s="91"/>
    </row>
    <row r="49" ht="15.75" customHeight="1">
      <c r="A49" s="121">
        <f t="shared" si="3"/>
        <v>2</v>
      </c>
      <c r="B49" s="133" t="s">
        <v>870</v>
      </c>
      <c r="C49" s="121" t="s">
        <v>541</v>
      </c>
      <c r="D49" s="121"/>
      <c r="E49" s="121">
        <v>2.0</v>
      </c>
      <c r="F49" s="121">
        <v>1.0</v>
      </c>
      <c r="G49" s="121" t="s">
        <v>871</v>
      </c>
      <c r="H49" s="91"/>
      <c r="I49" s="91"/>
      <c r="J49" s="91"/>
      <c r="K49" s="91"/>
      <c r="L49" s="91"/>
      <c r="M49" s="91"/>
      <c r="N49" s="91"/>
      <c r="O49" s="91"/>
      <c r="P49" s="91"/>
      <c r="Q49" s="91"/>
      <c r="R49" s="91"/>
      <c r="S49" s="91"/>
      <c r="T49" s="91"/>
      <c r="U49" s="91"/>
      <c r="V49" s="91"/>
      <c r="W49" s="91"/>
      <c r="X49" s="91"/>
      <c r="Y49" s="91"/>
      <c r="Z49" s="91"/>
      <c r="AA49" s="91"/>
      <c r="AB49" s="91"/>
    </row>
    <row r="50" ht="15.75" customHeight="1">
      <c r="A50" s="121">
        <f t="shared" si="3"/>
        <v>3</v>
      </c>
      <c r="B50" s="133" t="s">
        <v>872</v>
      </c>
      <c r="C50" s="121" t="s">
        <v>287</v>
      </c>
      <c r="D50" s="121" t="s">
        <v>694</v>
      </c>
      <c r="E50" s="121">
        <v>3.0</v>
      </c>
      <c r="F50" s="121">
        <v>1.0</v>
      </c>
      <c r="G50" s="121" t="s">
        <v>873</v>
      </c>
      <c r="H50" s="91"/>
      <c r="I50" s="91"/>
      <c r="J50" s="91"/>
      <c r="K50" s="91"/>
      <c r="L50" s="91"/>
      <c r="M50" s="91"/>
      <c r="N50" s="91"/>
      <c r="O50" s="91"/>
      <c r="P50" s="91"/>
      <c r="Q50" s="91"/>
      <c r="R50" s="91"/>
      <c r="S50" s="91"/>
      <c r="T50" s="91"/>
      <c r="U50" s="91"/>
      <c r="V50" s="91"/>
      <c r="W50" s="91"/>
      <c r="X50" s="91"/>
      <c r="Y50" s="91"/>
      <c r="Z50" s="91"/>
      <c r="AA50" s="91"/>
      <c r="AB50" s="91"/>
    </row>
    <row r="51" ht="15.75" customHeight="1">
      <c r="A51" s="121">
        <f t="shared" si="3"/>
        <v>4</v>
      </c>
      <c r="B51" s="133" t="s">
        <v>874</v>
      </c>
      <c r="C51" s="121" t="s">
        <v>72</v>
      </c>
      <c r="D51" s="121" t="s">
        <v>176</v>
      </c>
      <c r="E51" s="121">
        <v>4.0</v>
      </c>
      <c r="F51" s="121">
        <v>1.0</v>
      </c>
      <c r="G51" s="121" t="s">
        <v>875</v>
      </c>
      <c r="H51" s="91"/>
      <c r="I51" s="91"/>
      <c r="J51" s="91"/>
      <c r="K51" s="91"/>
      <c r="L51" s="91"/>
      <c r="M51" s="91"/>
      <c r="N51" s="91"/>
      <c r="O51" s="91"/>
      <c r="P51" s="91"/>
      <c r="Q51" s="91"/>
      <c r="R51" s="91"/>
      <c r="S51" s="91"/>
      <c r="T51" s="91"/>
      <c r="U51" s="91"/>
      <c r="V51" s="91"/>
      <c r="W51" s="91"/>
      <c r="X51" s="91"/>
      <c r="Y51" s="91"/>
      <c r="Z51" s="91"/>
      <c r="AA51" s="91"/>
      <c r="AB51" s="91"/>
    </row>
    <row r="52" ht="15.75" customHeight="1">
      <c r="A52" s="121">
        <f t="shared" si="3"/>
        <v>2</v>
      </c>
      <c r="B52" s="133" t="s">
        <v>876</v>
      </c>
      <c r="C52" s="121" t="s">
        <v>699</v>
      </c>
      <c r="D52" s="121" t="s">
        <v>694</v>
      </c>
      <c r="E52" s="121">
        <v>2.0</v>
      </c>
      <c r="F52" s="121">
        <v>1.0</v>
      </c>
      <c r="G52" s="121" t="s">
        <v>877</v>
      </c>
      <c r="H52" s="91"/>
      <c r="I52" s="91"/>
      <c r="J52" s="91"/>
      <c r="K52" s="91"/>
      <c r="L52" s="91"/>
      <c r="M52" s="91"/>
      <c r="N52" s="91"/>
      <c r="O52" s="91"/>
      <c r="P52" s="91"/>
      <c r="Q52" s="91"/>
      <c r="R52" s="91"/>
      <c r="S52" s="91"/>
      <c r="T52" s="91"/>
      <c r="U52" s="91"/>
      <c r="V52" s="91"/>
      <c r="W52" s="91"/>
      <c r="X52" s="91"/>
      <c r="Y52" s="91"/>
      <c r="Z52" s="91"/>
      <c r="AA52" s="91"/>
      <c r="AB52" s="91"/>
    </row>
    <row r="53" ht="15.75" customHeight="1">
      <c r="A53" s="121">
        <f t="shared" si="3"/>
        <v>4</v>
      </c>
      <c r="B53" s="133" t="s">
        <v>876</v>
      </c>
      <c r="C53" s="121" t="s">
        <v>243</v>
      </c>
      <c r="D53" s="121"/>
      <c r="E53" s="121">
        <v>4.0</v>
      </c>
      <c r="F53" s="121">
        <v>1.0</v>
      </c>
      <c r="G53" s="121" t="s">
        <v>878</v>
      </c>
      <c r="H53" s="91"/>
      <c r="I53" s="91"/>
      <c r="J53" s="91"/>
      <c r="K53" s="91"/>
      <c r="L53" s="91"/>
      <c r="M53" s="91"/>
      <c r="N53" s="91"/>
      <c r="O53" s="91"/>
      <c r="P53" s="91"/>
      <c r="Q53" s="91"/>
      <c r="R53" s="91"/>
      <c r="S53" s="91"/>
      <c r="T53" s="91"/>
      <c r="U53" s="91"/>
      <c r="V53" s="91"/>
      <c r="W53" s="91"/>
      <c r="X53" s="91"/>
      <c r="Y53" s="91"/>
      <c r="Z53" s="91"/>
      <c r="AA53" s="91"/>
      <c r="AB53" s="91"/>
    </row>
    <row r="54" ht="15.75" customHeight="1">
      <c r="A54" s="121">
        <f t="shared" si="3"/>
        <v>3</v>
      </c>
      <c r="B54" s="133" t="s">
        <v>879</v>
      </c>
      <c r="C54" s="121" t="s">
        <v>880</v>
      </c>
      <c r="D54" s="121"/>
      <c r="E54" s="121">
        <v>3.0</v>
      </c>
      <c r="F54" s="121">
        <v>1.0</v>
      </c>
      <c r="G54" s="121" t="s">
        <v>881</v>
      </c>
      <c r="H54" s="91"/>
      <c r="I54" s="91"/>
      <c r="J54" s="91"/>
      <c r="K54" s="91"/>
      <c r="L54" s="91"/>
      <c r="M54" s="91"/>
      <c r="N54" s="91"/>
      <c r="O54" s="91"/>
      <c r="P54" s="91"/>
      <c r="Q54" s="91"/>
      <c r="R54" s="91"/>
      <c r="S54" s="91"/>
      <c r="T54" s="91"/>
      <c r="U54" s="91"/>
      <c r="V54" s="91"/>
      <c r="W54" s="91"/>
      <c r="X54" s="91"/>
      <c r="Y54" s="91"/>
      <c r="Z54" s="91"/>
      <c r="AA54" s="91"/>
      <c r="AB54" s="91"/>
    </row>
    <row r="55" ht="15.75" customHeight="1">
      <c r="A55" s="121">
        <f t="shared" si="3"/>
        <v>5</v>
      </c>
      <c r="B55" s="132">
        <v>43286.0</v>
      </c>
      <c r="C55" s="121" t="s">
        <v>72</v>
      </c>
      <c r="D55" s="121" t="s">
        <v>626</v>
      </c>
      <c r="E55" s="121">
        <v>5.0</v>
      </c>
      <c r="F55" s="121">
        <v>1.0</v>
      </c>
      <c r="G55" s="121" t="s">
        <v>882</v>
      </c>
      <c r="H55" s="91"/>
      <c r="I55" s="91"/>
      <c r="J55" s="91"/>
      <c r="K55" s="91"/>
      <c r="L55" s="91"/>
      <c r="M55" s="91"/>
      <c r="N55" s="91"/>
      <c r="O55" s="91"/>
      <c r="P55" s="91"/>
      <c r="Q55" s="91"/>
      <c r="R55" s="91"/>
      <c r="S55" s="91"/>
      <c r="T55" s="91"/>
      <c r="U55" s="91"/>
      <c r="V55" s="91"/>
      <c r="W55" s="91"/>
      <c r="X55" s="91"/>
      <c r="Y55" s="91"/>
      <c r="Z55" s="91"/>
      <c r="AA55" s="91"/>
      <c r="AB55" s="91"/>
    </row>
    <row r="56" ht="15.75" customHeight="1">
      <c r="A56" s="121">
        <f t="shared" si="3"/>
        <v>3</v>
      </c>
      <c r="B56" s="132">
        <v>43105.0</v>
      </c>
      <c r="C56" s="121" t="s">
        <v>883</v>
      </c>
      <c r="D56" s="121"/>
      <c r="E56" s="121">
        <v>3.0</v>
      </c>
      <c r="F56" s="121">
        <v>1.0</v>
      </c>
      <c r="G56" s="121" t="s">
        <v>884</v>
      </c>
      <c r="H56" s="91"/>
      <c r="I56" s="91"/>
      <c r="J56" s="91"/>
      <c r="K56" s="91"/>
      <c r="L56" s="91"/>
      <c r="M56" s="91"/>
      <c r="N56" s="91"/>
      <c r="O56" s="91"/>
      <c r="P56" s="91"/>
      <c r="Q56" s="91"/>
      <c r="R56" s="91"/>
      <c r="S56" s="91"/>
      <c r="T56" s="91"/>
      <c r="U56" s="91"/>
      <c r="V56" s="91"/>
      <c r="W56" s="91"/>
      <c r="X56" s="91"/>
      <c r="Y56" s="91"/>
      <c r="Z56" s="91"/>
      <c r="AA56" s="91"/>
      <c r="AB56" s="91"/>
    </row>
    <row r="57" ht="15.75" customHeight="1">
      <c r="A57" s="121">
        <f t="shared" si="3"/>
        <v>16</v>
      </c>
      <c r="B57" s="133" t="s">
        <v>885</v>
      </c>
      <c r="C57" s="121" t="s">
        <v>571</v>
      </c>
      <c r="D57" s="121" t="s">
        <v>886</v>
      </c>
      <c r="E57" s="121">
        <v>2.0</v>
      </c>
      <c r="F57" s="121">
        <v>8.0</v>
      </c>
      <c r="G57" s="121" t="s">
        <v>887</v>
      </c>
      <c r="H57" s="91"/>
      <c r="I57" s="91"/>
      <c r="J57" s="91"/>
      <c r="K57" s="91"/>
      <c r="L57" s="91"/>
      <c r="M57" s="91"/>
      <c r="N57" s="91"/>
      <c r="O57" s="91"/>
      <c r="P57" s="91"/>
      <c r="Q57" s="91"/>
      <c r="R57" s="91"/>
      <c r="S57" s="91"/>
      <c r="T57" s="91"/>
      <c r="U57" s="91"/>
      <c r="V57" s="91"/>
      <c r="W57" s="91"/>
      <c r="X57" s="91"/>
      <c r="Y57" s="91"/>
      <c r="Z57" s="91"/>
      <c r="AA57" s="91"/>
      <c r="AB57" s="91"/>
    </row>
    <row r="58" ht="15.75" customHeight="1">
      <c r="A58" s="121">
        <f t="shared" si="3"/>
        <v>56</v>
      </c>
      <c r="B58" s="133" t="s">
        <v>885</v>
      </c>
      <c r="C58" s="121" t="s">
        <v>888</v>
      </c>
      <c r="D58" s="121" t="s">
        <v>254</v>
      </c>
      <c r="E58" s="121">
        <v>7.0</v>
      </c>
      <c r="F58" s="121">
        <v>8.0</v>
      </c>
      <c r="G58" s="121" t="s">
        <v>889</v>
      </c>
      <c r="H58" s="91"/>
      <c r="I58" s="91"/>
      <c r="J58" s="91"/>
      <c r="K58" s="91"/>
      <c r="L58" s="91"/>
      <c r="M58" s="91"/>
      <c r="N58" s="91"/>
      <c r="O58" s="91"/>
      <c r="P58" s="91"/>
      <c r="Q58" s="91"/>
      <c r="R58" s="91"/>
      <c r="S58" s="91"/>
      <c r="T58" s="91"/>
      <c r="U58" s="91"/>
      <c r="V58" s="91"/>
      <c r="W58" s="91"/>
      <c r="X58" s="91"/>
      <c r="Y58" s="91"/>
      <c r="Z58" s="91"/>
      <c r="AA58" s="91"/>
      <c r="AB58" s="91"/>
    </row>
    <row r="59" ht="15.75" customHeight="1">
      <c r="A59" s="121">
        <f t="shared" si="3"/>
        <v>6</v>
      </c>
      <c r="B59" s="133" t="s">
        <v>890</v>
      </c>
      <c r="C59" s="121" t="s">
        <v>891</v>
      </c>
      <c r="D59" s="121" t="s">
        <v>247</v>
      </c>
      <c r="E59" s="121">
        <v>6.0</v>
      </c>
      <c r="F59" s="121">
        <v>1.0</v>
      </c>
      <c r="G59" s="121" t="s">
        <v>892</v>
      </c>
      <c r="H59" s="91"/>
      <c r="I59" s="91"/>
      <c r="J59" s="91"/>
      <c r="K59" s="91"/>
      <c r="L59" s="91"/>
      <c r="M59" s="91"/>
      <c r="N59" s="91"/>
      <c r="O59" s="91"/>
      <c r="P59" s="91"/>
      <c r="Q59" s="91"/>
      <c r="R59" s="91"/>
      <c r="S59" s="91"/>
      <c r="T59" s="91"/>
      <c r="U59" s="91"/>
      <c r="V59" s="91"/>
      <c r="W59" s="91"/>
      <c r="X59" s="91"/>
      <c r="Y59" s="91"/>
      <c r="Z59" s="91"/>
      <c r="AA59" s="91"/>
      <c r="AB59" s="91"/>
    </row>
    <row r="60" ht="15.75" customHeight="1">
      <c r="A60" s="121">
        <f t="shared" si="3"/>
        <v>2</v>
      </c>
      <c r="B60" s="133" t="s">
        <v>893</v>
      </c>
      <c r="C60" s="121" t="s">
        <v>31</v>
      </c>
      <c r="D60" s="121" t="s">
        <v>694</v>
      </c>
      <c r="E60" s="121">
        <v>2.0</v>
      </c>
      <c r="F60" s="121">
        <v>1.0</v>
      </c>
      <c r="G60" s="121" t="s">
        <v>894</v>
      </c>
      <c r="H60" s="91"/>
      <c r="I60" s="91"/>
      <c r="J60" s="91"/>
      <c r="K60" s="91"/>
      <c r="L60" s="91"/>
      <c r="M60" s="91"/>
      <c r="N60" s="91"/>
      <c r="O60" s="91"/>
      <c r="P60" s="91"/>
      <c r="Q60" s="91"/>
      <c r="R60" s="91"/>
      <c r="S60" s="91"/>
      <c r="T60" s="91"/>
      <c r="U60" s="91"/>
      <c r="V60" s="91"/>
      <c r="W60" s="91"/>
      <c r="X60" s="91"/>
      <c r="Y60" s="91"/>
      <c r="Z60" s="91"/>
      <c r="AA60" s="91"/>
      <c r="AB60" s="91"/>
    </row>
    <row r="61" ht="15.75" customHeight="1">
      <c r="A61" s="121">
        <f t="shared" si="3"/>
        <v>6</v>
      </c>
      <c r="B61" s="133" t="s">
        <v>895</v>
      </c>
      <c r="C61" s="121" t="s">
        <v>896</v>
      </c>
      <c r="D61" s="121"/>
      <c r="E61" s="121">
        <v>3.0</v>
      </c>
      <c r="F61" s="121">
        <v>2.0</v>
      </c>
      <c r="G61" s="121" t="s">
        <v>897</v>
      </c>
      <c r="H61" s="91"/>
      <c r="I61" s="91"/>
      <c r="J61" s="91"/>
      <c r="K61" s="91"/>
      <c r="L61" s="91"/>
      <c r="M61" s="91"/>
      <c r="N61" s="91"/>
      <c r="O61" s="91"/>
      <c r="P61" s="91"/>
      <c r="Q61" s="91"/>
      <c r="R61" s="91"/>
      <c r="S61" s="91"/>
      <c r="T61" s="91"/>
      <c r="U61" s="91"/>
      <c r="V61" s="91"/>
      <c r="W61" s="91"/>
      <c r="X61" s="91"/>
      <c r="Y61" s="91"/>
      <c r="Z61" s="91"/>
      <c r="AA61" s="91"/>
      <c r="AB61" s="91"/>
    </row>
    <row r="62" ht="15.75" customHeight="1">
      <c r="A62" s="121">
        <f t="shared" si="3"/>
        <v>4</v>
      </c>
      <c r="B62" s="133" t="s">
        <v>895</v>
      </c>
      <c r="C62" s="121" t="s">
        <v>898</v>
      </c>
      <c r="D62" s="121"/>
      <c r="E62" s="121">
        <v>4.0</v>
      </c>
      <c r="F62" s="121">
        <v>1.0</v>
      </c>
      <c r="G62" s="121" t="s">
        <v>899</v>
      </c>
      <c r="H62" s="91"/>
      <c r="I62" s="91"/>
      <c r="J62" s="91"/>
      <c r="K62" s="91"/>
      <c r="L62" s="91"/>
      <c r="M62" s="91"/>
      <c r="N62" s="91"/>
      <c r="O62" s="91"/>
      <c r="P62" s="91"/>
      <c r="Q62" s="91"/>
      <c r="R62" s="91"/>
      <c r="S62" s="91"/>
      <c r="T62" s="91"/>
      <c r="U62" s="91"/>
      <c r="V62" s="91"/>
      <c r="W62" s="91"/>
      <c r="X62" s="91"/>
      <c r="Y62" s="91"/>
      <c r="Z62" s="91"/>
      <c r="AA62" s="91"/>
      <c r="AB62" s="91"/>
    </row>
    <row r="63" ht="15.75" customHeight="1">
      <c r="A63" s="121">
        <f t="shared" si="3"/>
        <v>8</v>
      </c>
      <c r="B63" s="133" t="s">
        <v>900</v>
      </c>
      <c r="C63" s="121" t="s">
        <v>891</v>
      </c>
      <c r="D63" s="121" t="s">
        <v>247</v>
      </c>
      <c r="E63" s="121">
        <v>8.0</v>
      </c>
      <c r="F63" s="121">
        <v>1.0</v>
      </c>
      <c r="G63" s="121" t="s">
        <v>901</v>
      </c>
      <c r="H63" s="91"/>
      <c r="I63" s="91"/>
      <c r="J63" s="91"/>
      <c r="K63" s="91"/>
      <c r="L63" s="91"/>
      <c r="M63" s="91"/>
      <c r="N63" s="91"/>
      <c r="O63" s="91"/>
      <c r="P63" s="91"/>
      <c r="Q63" s="91"/>
      <c r="R63" s="91"/>
      <c r="S63" s="91"/>
      <c r="T63" s="91"/>
      <c r="U63" s="91"/>
      <c r="V63" s="91"/>
      <c r="W63" s="91"/>
      <c r="X63" s="91"/>
      <c r="Y63" s="91"/>
      <c r="Z63" s="91"/>
      <c r="AA63" s="91"/>
      <c r="AB63" s="91"/>
    </row>
    <row r="64" ht="15.75" customHeight="1">
      <c r="A64" s="121">
        <f t="shared" si="3"/>
        <v>5</v>
      </c>
      <c r="B64" s="133" t="s">
        <v>902</v>
      </c>
      <c r="C64" s="121" t="s">
        <v>29</v>
      </c>
      <c r="D64" s="121" t="s">
        <v>694</v>
      </c>
      <c r="E64" s="121">
        <v>5.0</v>
      </c>
      <c r="F64" s="121">
        <v>1.0</v>
      </c>
      <c r="G64" s="121" t="s">
        <v>903</v>
      </c>
      <c r="H64" s="91"/>
      <c r="I64" s="91"/>
      <c r="J64" s="91"/>
      <c r="K64" s="91"/>
      <c r="L64" s="91"/>
      <c r="M64" s="91"/>
      <c r="N64" s="91"/>
      <c r="O64" s="91"/>
      <c r="P64" s="91"/>
      <c r="Q64" s="91"/>
      <c r="R64" s="91"/>
      <c r="S64" s="91"/>
      <c r="T64" s="91"/>
      <c r="U64" s="91"/>
      <c r="V64" s="91"/>
      <c r="W64" s="91"/>
      <c r="X64" s="91"/>
      <c r="Y64" s="91"/>
      <c r="Z64" s="91"/>
      <c r="AA64" s="91"/>
      <c r="AB64" s="91"/>
    </row>
    <row r="65" ht="15.75" customHeight="1">
      <c r="A65" s="121">
        <f t="shared" si="3"/>
        <v>2</v>
      </c>
      <c r="B65" s="132">
        <v>43316.0</v>
      </c>
      <c r="C65" s="121" t="s">
        <v>831</v>
      </c>
      <c r="D65" s="121" t="s">
        <v>254</v>
      </c>
      <c r="E65" s="121">
        <v>2.0</v>
      </c>
      <c r="F65" s="121">
        <v>1.0</v>
      </c>
      <c r="G65" s="121" t="s">
        <v>904</v>
      </c>
      <c r="H65" s="91"/>
      <c r="I65" s="91"/>
      <c r="J65" s="91"/>
      <c r="K65" s="91"/>
      <c r="L65" s="91"/>
      <c r="M65" s="91"/>
      <c r="N65" s="91"/>
      <c r="O65" s="91"/>
      <c r="P65" s="91"/>
      <c r="Q65" s="91"/>
      <c r="R65" s="91"/>
      <c r="S65" s="91"/>
      <c r="T65" s="91"/>
      <c r="U65" s="91"/>
      <c r="V65" s="91"/>
      <c r="W65" s="91"/>
      <c r="X65" s="91"/>
      <c r="Y65" s="91"/>
      <c r="Z65" s="91"/>
      <c r="AA65" s="91"/>
      <c r="AB65" s="91"/>
    </row>
    <row r="66" ht="15.75" customHeight="1">
      <c r="A66" s="121">
        <f t="shared" si="3"/>
        <v>3</v>
      </c>
      <c r="B66" s="132">
        <v>43285.0</v>
      </c>
      <c r="C66" s="121" t="s">
        <v>831</v>
      </c>
      <c r="D66" s="121" t="s">
        <v>254</v>
      </c>
      <c r="E66" s="121">
        <v>3.0</v>
      </c>
      <c r="F66" s="121">
        <v>1.0</v>
      </c>
      <c r="G66" s="121" t="s">
        <v>904</v>
      </c>
      <c r="H66" s="91"/>
      <c r="I66" s="91"/>
      <c r="J66" s="91"/>
      <c r="K66" s="91"/>
      <c r="L66" s="91"/>
      <c r="M66" s="91"/>
      <c r="N66" s="91"/>
      <c r="O66" s="91"/>
      <c r="P66" s="91"/>
      <c r="Q66" s="91"/>
      <c r="R66" s="91"/>
      <c r="S66" s="91"/>
      <c r="T66" s="91"/>
      <c r="U66" s="91"/>
      <c r="V66" s="91"/>
      <c r="W66" s="91"/>
      <c r="X66" s="91"/>
      <c r="Y66" s="91"/>
      <c r="Z66" s="91"/>
      <c r="AA66" s="91"/>
      <c r="AB66" s="91"/>
    </row>
    <row r="67" ht="15.75" customHeight="1">
      <c r="A67" s="121">
        <f t="shared" si="3"/>
        <v>7</v>
      </c>
      <c r="B67" s="134">
        <v>43285.0</v>
      </c>
      <c r="C67" s="121" t="s">
        <v>846</v>
      </c>
      <c r="D67" s="121" t="s">
        <v>247</v>
      </c>
      <c r="E67" s="121">
        <v>7.0</v>
      </c>
      <c r="F67" s="121">
        <v>1.0</v>
      </c>
      <c r="G67" s="121" t="s">
        <v>905</v>
      </c>
      <c r="H67" s="91"/>
      <c r="I67" s="91"/>
      <c r="J67" s="91"/>
      <c r="K67" s="91"/>
      <c r="L67" s="91"/>
      <c r="M67" s="91"/>
      <c r="N67" s="91"/>
      <c r="O67" s="91"/>
      <c r="P67" s="91"/>
      <c r="Q67" s="91"/>
      <c r="R67" s="91"/>
      <c r="S67" s="91"/>
      <c r="T67" s="91"/>
      <c r="U67" s="91"/>
      <c r="V67" s="91"/>
      <c r="W67" s="91"/>
      <c r="X67" s="91"/>
      <c r="Y67" s="91"/>
      <c r="Z67" s="91"/>
      <c r="AA67" s="91"/>
      <c r="AB67" s="91"/>
    </row>
    <row r="68" ht="15.75" customHeight="1">
      <c r="A68" s="121">
        <f t="shared" si="3"/>
        <v>9</v>
      </c>
      <c r="B68" s="134">
        <v>43196.0</v>
      </c>
      <c r="C68" s="121" t="s">
        <v>214</v>
      </c>
      <c r="D68" s="121"/>
      <c r="E68" s="121">
        <v>9.0</v>
      </c>
      <c r="F68" s="121">
        <v>1.0</v>
      </c>
      <c r="G68" s="121" t="s">
        <v>906</v>
      </c>
      <c r="H68" s="91"/>
      <c r="I68" s="91"/>
      <c r="J68" s="91"/>
      <c r="K68" s="91"/>
      <c r="L68" s="91"/>
      <c r="M68" s="91"/>
      <c r="N68" s="91"/>
      <c r="O68" s="91"/>
      <c r="P68" s="91"/>
      <c r="Q68" s="91"/>
      <c r="R68" s="91"/>
      <c r="S68" s="91"/>
      <c r="T68" s="91"/>
      <c r="U68" s="91"/>
      <c r="V68" s="91"/>
      <c r="W68" s="91"/>
      <c r="X68" s="91"/>
      <c r="Y68" s="91"/>
      <c r="Z68" s="91"/>
      <c r="AA68" s="91"/>
      <c r="AB68" s="91"/>
    </row>
    <row r="69" ht="15.75" customHeight="1">
      <c r="A69" s="121">
        <f t="shared" si="3"/>
        <v>3</v>
      </c>
      <c r="B69" s="134">
        <v>43195.0</v>
      </c>
      <c r="C69" s="121" t="s">
        <v>907</v>
      </c>
      <c r="D69" s="121"/>
      <c r="E69" s="121">
        <v>3.0</v>
      </c>
      <c r="F69" s="121">
        <v>1.0</v>
      </c>
      <c r="G69" s="121" t="s">
        <v>908</v>
      </c>
      <c r="H69" s="91"/>
      <c r="I69" s="91"/>
      <c r="J69" s="91"/>
      <c r="K69" s="91"/>
      <c r="L69" s="91"/>
      <c r="M69" s="91"/>
      <c r="N69" s="91"/>
      <c r="O69" s="91"/>
      <c r="P69" s="91"/>
      <c r="Q69" s="91"/>
      <c r="R69" s="91"/>
      <c r="S69" s="91"/>
      <c r="T69" s="91"/>
      <c r="U69" s="91"/>
      <c r="V69" s="91"/>
      <c r="W69" s="91"/>
      <c r="X69" s="91"/>
      <c r="Y69" s="91"/>
      <c r="Z69" s="91"/>
      <c r="AA69" s="91"/>
      <c r="AB69" s="91"/>
    </row>
    <row r="70" ht="15.75" customHeight="1">
      <c r="A70" s="121">
        <f t="shared" si="3"/>
        <v>136</v>
      </c>
      <c r="B70" s="133" t="s">
        <v>909</v>
      </c>
      <c r="C70" s="121" t="s">
        <v>126</v>
      </c>
      <c r="D70" s="121" t="s">
        <v>254</v>
      </c>
      <c r="E70" s="121">
        <v>17.0</v>
      </c>
      <c r="F70" s="121">
        <v>8.0</v>
      </c>
      <c r="G70" s="121" t="s">
        <v>910</v>
      </c>
      <c r="H70" s="91"/>
      <c r="I70" s="91"/>
      <c r="J70" s="91"/>
      <c r="K70" s="91"/>
      <c r="L70" s="91"/>
      <c r="M70" s="91"/>
      <c r="N70" s="91"/>
      <c r="O70" s="91"/>
      <c r="P70" s="91"/>
      <c r="Q70" s="91"/>
      <c r="R70" s="91"/>
      <c r="S70" s="91"/>
      <c r="T70" s="91"/>
      <c r="U70" s="91"/>
      <c r="V70" s="91"/>
      <c r="W70" s="91"/>
      <c r="X70" s="91"/>
      <c r="Y70" s="91"/>
      <c r="Z70" s="91"/>
      <c r="AA70" s="91"/>
      <c r="AB70" s="91"/>
    </row>
    <row r="71" ht="15.75" customHeight="1">
      <c r="A71" s="121">
        <f t="shared" si="3"/>
        <v>4</v>
      </c>
      <c r="B71" s="133" t="s">
        <v>911</v>
      </c>
      <c r="C71" s="121" t="s">
        <v>111</v>
      </c>
      <c r="D71" s="121"/>
      <c r="E71" s="121">
        <v>4.0</v>
      </c>
      <c r="F71" s="121">
        <v>1.0</v>
      </c>
      <c r="G71" s="121" t="s">
        <v>912</v>
      </c>
      <c r="H71" s="91"/>
      <c r="I71" s="91"/>
      <c r="J71" s="91"/>
      <c r="K71" s="91"/>
      <c r="L71" s="91"/>
      <c r="M71" s="91"/>
      <c r="N71" s="91"/>
      <c r="O71" s="91"/>
      <c r="P71" s="91"/>
      <c r="Q71" s="91"/>
      <c r="R71" s="91"/>
      <c r="S71" s="91"/>
      <c r="T71" s="91"/>
      <c r="U71" s="91"/>
      <c r="V71" s="91"/>
      <c r="W71" s="91"/>
      <c r="X71" s="91"/>
      <c r="Y71" s="91"/>
      <c r="Z71" s="91"/>
      <c r="AA71" s="91"/>
      <c r="AB71" s="91"/>
    </row>
    <row r="72" ht="15.75" customHeight="1">
      <c r="A72" s="121">
        <f t="shared" si="3"/>
        <v>2</v>
      </c>
      <c r="B72" s="132">
        <v>43407.0</v>
      </c>
      <c r="C72" s="121" t="s">
        <v>779</v>
      </c>
      <c r="D72" s="121"/>
      <c r="E72" s="121">
        <v>2.0</v>
      </c>
      <c r="F72" s="121">
        <v>1.0</v>
      </c>
      <c r="G72" s="121" t="s">
        <v>913</v>
      </c>
      <c r="H72" s="91"/>
      <c r="I72" s="91"/>
      <c r="J72" s="91"/>
      <c r="K72" s="91"/>
      <c r="L72" s="91"/>
      <c r="M72" s="91"/>
      <c r="N72" s="91"/>
      <c r="O72" s="91"/>
      <c r="P72" s="91"/>
      <c r="Q72" s="91"/>
      <c r="R72" s="91"/>
      <c r="S72" s="91"/>
      <c r="T72" s="91"/>
      <c r="U72" s="91"/>
      <c r="V72" s="91"/>
      <c r="W72" s="91"/>
      <c r="X72" s="91"/>
      <c r="Y72" s="91"/>
      <c r="Z72" s="91"/>
      <c r="AA72" s="91"/>
      <c r="AB72" s="91"/>
    </row>
    <row r="73" ht="15.75" customHeight="1">
      <c r="A73" s="121">
        <f t="shared" si="3"/>
        <v>4</v>
      </c>
      <c r="B73" s="132">
        <v>43407.0</v>
      </c>
      <c r="C73" s="121" t="s">
        <v>914</v>
      </c>
      <c r="D73" s="121"/>
      <c r="E73" s="121">
        <v>4.0</v>
      </c>
      <c r="F73" s="121">
        <v>1.0</v>
      </c>
      <c r="G73" s="121" t="s">
        <v>915</v>
      </c>
      <c r="H73" s="91"/>
      <c r="I73" s="91"/>
      <c r="J73" s="91"/>
      <c r="K73" s="91"/>
      <c r="L73" s="91"/>
      <c r="M73" s="91"/>
      <c r="N73" s="91"/>
      <c r="O73" s="91"/>
      <c r="P73" s="91"/>
      <c r="Q73" s="91"/>
      <c r="R73" s="91"/>
      <c r="S73" s="91"/>
      <c r="T73" s="91"/>
      <c r="U73" s="91"/>
      <c r="V73" s="91"/>
      <c r="W73" s="91"/>
      <c r="X73" s="91"/>
      <c r="Y73" s="91"/>
      <c r="Z73" s="91"/>
      <c r="AA73" s="91"/>
      <c r="AB73" s="91"/>
    </row>
    <row r="74" ht="15.75" customHeight="1">
      <c r="A74" s="121">
        <f t="shared" si="3"/>
        <v>3</v>
      </c>
      <c r="B74" s="133" t="s">
        <v>916</v>
      </c>
      <c r="C74" s="121" t="s">
        <v>111</v>
      </c>
      <c r="D74" s="121" t="s">
        <v>254</v>
      </c>
      <c r="E74" s="121">
        <v>3.0</v>
      </c>
      <c r="F74" s="121">
        <v>1.0</v>
      </c>
      <c r="G74" s="121" t="s">
        <v>917</v>
      </c>
      <c r="H74" s="91"/>
      <c r="I74" s="91"/>
      <c r="J74" s="91"/>
      <c r="K74" s="91"/>
      <c r="L74" s="91"/>
      <c r="M74" s="91"/>
      <c r="N74" s="91"/>
      <c r="O74" s="91"/>
      <c r="P74" s="91"/>
      <c r="Q74" s="91"/>
      <c r="R74" s="91"/>
      <c r="S74" s="91"/>
      <c r="T74" s="91"/>
      <c r="U74" s="91"/>
      <c r="V74" s="91"/>
      <c r="W74" s="91"/>
      <c r="X74" s="91"/>
      <c r="Y74" s="91"/>
      <c r="Z74" s="91"/>
      <c r="AA74" s="91"/>
      <c r="AB74" s="91"/>
    </row>
    <row r="75" ht="15.75" customHeight="1">
      <c r="A75" s="121">
        <f t="shared" si="3"/>
        <v>3</v>
      </c>
      <c r="B75" s="133" t="s">
        <v>918</v>
      </c>
      <c r="C75" s="121" t="s">
        <v>907</v>
      </c>
      <c r="D75" s="121"/>
      <c r="E75" s="121">
        <v>3.0</v>
      </c>
      <c r="F75" s="121">
        <v>1.0</v>
      </c>
      <c r="G75" s="121" t="s">
        <v>919</v>
      </c>
      <c r="H75" s="91"/>
      <c r="I75" s="91"/>
      <c r="J75" s="91"/>
      <c r="K75" s="91"/>
      <c r="L75" s="91"/>
      <c r="M75" s="91"/>
      <c r="N75" s="91"/>
      <c r="O75" s="91"/>
      <c r="P75" s="91"/>
      <c r="Q75" s="91"/>
      <c r="R75" s="91"/>
      <c r="S75" s="91"/>
      <c r="T75" s="91"/>
      <c r="U75" s="91"/>
      <c r="V75" s="91"/>
      <c r="W75" s="91"/>
      <c r="X75" s="91"/>
      <c r="Y75" s="91"/>
      <c r="Z75" s="91"/>
      <c r="AA75" s="91"/>
      <c r="AB75" s="91"/>
    </row>
    <row r="76" ht="15.75" customHeight="1">
      <c r="A76" s="121">
        <f t="shared" si="3"/>
        <v>4</v>
      </c>
      <c r="B76" s="133" t="s">
        <v>920</v>
      </c>
      <c r="C76" s="121" t="s">
        <v>214</v>
      </c>
      <c r="D76" s="121"/>
      <c r="E76" s="121">
        <v>4.0</v>
      </c>
      <c r="F76" s="121">
        <v>1.0</v>
      </c>
      <c r="G76" s="121" t="s">
        <v>921</v>
      </c>
      <c r="H76" s="91"/>
      <c r="I76" s="91"/>
      <c r="J76" s="91"/>
      <c r="K76" s="91"/>
      <c r="L76" s="91"/>
      <c r="M76" s="91"/>
      <c r="N76" s="91"/>
      <c r="O76" s="91"/>
      <c r="P76" s="91"/>
      <c r="Q76" s="91"/>
      <c r="R76" s="91"/>
      <c r="S76" s="91"/>
      <c r="T76" s="91"/>
      <c r="U76" s="91"/>
      <c r="V76" s="91"/>
      <c r="W76" s="91"/>
      <c r="X76" s="91"/>
      <c r="Y76" s="91"/>
      <c r="Z76" s="91"/>
      <c r="AA76" s="91"/>
      <c r="AB76" s="91"/>
    </row>
    <row r="77" ht="15.75" customHeight="1">
      <c r="A77" s="121">
        <f t="shared" si="3"/>
        <v>2</v>
      </c>
      <c r="B77" s="135">
        <v>43113.0</v>
      </c>
      <c r="C77" s="126" t="s">
        <v>22</v>
      </c>
      <c r="D77" s="121"/>
      <c r="E77" s="121">
        <v>2.0</v>
      </c>
      <c r="F77" s="126">
        <v>1.0</v>
      </c>
      <c r="G77" s="121" t="s">
        <v>922</v>
      </c>
      <c r="H77" s="91"/>
      <c r="I77" s="91"/>
      <c r="J77" s="91"/>
      <c r="K77" s="91"/>
      <c r="L77" s="91"/>
      <c r="M77" s="91"/>
      <c r="N77" s="91"/>
      <c r="O77" s="91"/>
      <c r="P77" s="91"/>
      <c r="Q77" s="91"/>
      <c r="R77" s="91"/>
      <c r="S77" s="91"/>
      <c r="T77" s="91"/>
      <c r="U77" s="91"/>
      <c r="V77" s="91"/>
      <c r="W77" s="91"/>
      <c r="X77" s="91"/>
      <c r="Y77" s="91"/>
      <c r="Z77" s="91"/>
      <c r="AA77" s="91"/>
      <c r="AB77" s="91"/>
    </row>
    <row r="78" ht="15.75" customHeight="1">
      <c r="A78" s="121">
        <f t="shared" si="3"/>
        <v>2</v>
      </c>
      <c r="B78" s="135">
        <v>43108.0</v>
      </c>
      <c r="C78" s="126" t="s">
        <v>111</v>
      </c>
      <c r="D78" s="121"/>
      <c r="E78" s="121">
        <v>2.0</v>
      </c>
      <c r="F78" s="126">
        <v>1.0</v>
      </c>
      <c r="G78" s="121" t="s">
        <v>923</v>
      </c>
      <c r="H78" s="91"/>
      <c r="I78" s="91"/>
      <c r="J78" s="91"/>
      <c r="K78" s="91"/>
      <c r="L78" s="91"/>
      <c r="M78" s="91"/>
      <c r="N78" s="91"/>
      <c r="O78" s="91"/>
      <c r="P78" s="91"/>
      <c r="Q78" s="91"/>
      <c r="R78" s="91"/>
      <c r="S78" s="91"/>
      <c r="T78" s="91"/>
      <c r="U78" s="91"/>
      <c r="V78" s="91"/>
      <c r="W78" s="91"/>
      <c r="X78" s="91"/>
      <c r="Y78" s="91"/>
      <c r="Z78" s="91"/>
      <c r="AA78" s="91"/>
      <c r="AB78" s="91"/>
    </row>
    <row r="79" ht="15.75" customHeight="1">
      <c r="A79" s="121">
        <f t="shared" si="3"/>
        <v>2</v>
      </c>
      <c r="B79" s="135">
        <v>43102.0</v>
      </c>
      <c r="C79" s="126" t="s">
        <v>29</v>
      </c>
      <c r="D79" s="121" t="s">
        <v>145</v>
      </c>
      <c r="E79" s="126">
        <v>2.0</v>
      </c>
      <c r="F79" s="126">
        <v>1.0</v>
      </c>
      <c r="G79" s="126" t="s">
        <v>924</v>
      </c>
      <c r="H79" s="91"/>
      <c r="I79" s="91"/>
      <c r="J79" s="91"/>
      <c r="K79" s="91"/>
      <c r="L79" s="91"/>
      <c r="M79" s="91"/>
      <c r="N79" s="91"/>
      <c r="O79" s="91"/>
      <c r="P79" s="91"/>
      <c r="Q79" s="91"/>
      <c r="R79" s="91"/>
      <c r="S79" s="91"/>
      <c r="T79" s="91"/>
      <c r="U79" s="91"/>
      <c r="V79" s="91"/>
      <c r="W79" s="91"/>
      <c r="X79" s="91"/>
      <c r="Y79" s="91"/>
      <c r="Z79" s="91"/>
      <c r="AA79" s="91"/>
      <c r="AB79" s="91"/>
    </row>
    <row r="80" ht="15.75" customHeight="1">
      <c r="A80" s="121">
        <v>2.0</v>
      </c>
      <c r="B80" s="127"/>
      <c r="C80" s="126"/>
      <c r="D80" s="126"/>
      <c r="E80" s="126"/>
      <c r="F80" s="126"/>
      <c r="G80" s="126"/>
      <c r="H80" s="91"/>
      <c r="I80" s="91"/>
      <c r="J80" s="91"/>
      <c r="K80" s="91"/>
      <c r="L80" s="91"/>
      <c r="M80" s="91"/>
      <c r="N80" s="91"/>
      <c r="O80" s="91"/>
      <c r="P80" s="91"/>
      <c r="Q80" s="91"/>
      <c r="R80" s="91"/>
      <c r="S80" s="91"/>
      <c r="T80" s="91"/>
      <c r="U80" s="91"/>
      <c r="V80" s="91"/>
      <c r="W80" s="91"/>
      <c r="X80" s="91"/>
      <c r="Y80" s="91"/>
      <c r="Z80" s="91"/>
      <c r="AA80" s="91"/>
      <c r="AB80" s="91"/>
    </row>
    <row r="81" ht="15.75" customHeight="1">
      <c r="A81" s="127"/>
      <c r="B81" s="127"/>
      <c r="C81" s="126"/>
      <c r="D81" s="126"/>
      <c r="E81" s="126"/>
      <c r="F81" s="126"/>
      <c r="G81" s="126"/>
      <c r="H81" s="91"/>
      <c r="I81" s="91"/>
      <c r="J81" s="91"/>
      <c r="K81" s="91"/>
      <c r="L81" s="91"/>
      <c r="M81" s="91"/>
      <c r="N81" s="91"/>
      <c r="O81" s="91"/>
      <c r="P81" s="91"/>
      <c r="Q81" s="91"/>
      <c r="R81" s="91"/>
      <c r="S81" s="91"/>
      <c r="T81" s="91"/>
      <c r="U81" s="91"/>
      <c r="V81" s="91"/>
      <c r="W81" s="91"/>
      <c r="X81" s="91"/>
      <c r="Y81" s="91"/>
      <c r="Z81" s="91"/>
      <c r="AA81" s="91"/>
      <c r="AB81" s="91"/>
    </row>
    <row r="82" ht="15.75" customHeight="1">
      <c r="A82" s="128"/>
      <c r="B82" s="128"/>
      <c r="C82" s="126"/>
      <c r="D82" s="126"/>
      <c r="E82" s="126"/>
      <c r="F82" s="126"/>
      <c r="G82" s="126"/>
      <c r="H82" s="91"/>
      <c r="I82" s="91"/>
      <c r="J82" s="91"/>
      <c r="K82" s="91"/>
      <c r="L82" s="91"/>
      <c r="M82" s="91"/>
      <c r="N82" s="91"/>
      <c r="O82" s="91"/>
      <c r="P82" s="91"/>
      <c r="Q82" s="91"/>
      <c r="R82" s="91"/>
      <c r="S82" s="91"/>
      <c r="T82" s="91"/>
      <c r="U82" s="91"/>
      <c r="V82" s="91"/>
      <c r="W82" s="91"/>
      <c r="X82" s="91"/>
      <c r="Y82" s="91"/>
      <c r="Z82" s="91"/>
      <c r="AA82" s="91"/>
      <c r="AB82" s="91"/>
    </row>
    <row r="83" ht="15.75" customHeight="1">
      <c r="A83" s="127"/>
      <c r="B83" s="127"/>
      <c r="C83" s="126"/>
      <c r="D83" s="126"/>
      <c r="E83" s="126"/>
      <c r="F83" s="126"/>
      <c r="G83" s="126"/>
      <c r="H83" s="91"/>
      <c r="I83" s="91"/>
      <c r="J83" s="91"/>
      <c r="K83" s="91"/>
      <c r="L83" s="91"/>
      <c r="M83" s="91"/>
      <c r="N83" s="91"/>
      <c r="O83" s="91"/>
      <c r="P83" s="91"/>
      <c r="Q83" s="91"/>
      <c r="R83" s="91"/>
      <c r="S83" s="91"/>
      <c r="T83" s="91"/>
      <c r="U83" s="91"/>
      <c r="V83" s="91"/>
      <c r="W83" s="91"/>
      <c r="X83" s="91"/>
      <c r="Y83" s="91"/>
      <c r="Z83" s="91"/>
      <c r="AA83" s="91"/>
      <c r="AB83" s="91"/>
    </row>
    <row r="84" ht="15.75" customHeight="1">
      <c r="A84" s="127"/>
      <c r="B84" s="127"/>
      <c r="C84" s="126"/>
      <c r="D84" s="126"/>
      <c r="E84" s="126"/>
      <c r="F84" s="126"/>
      <c r="G84" s="126"/>
      <c r="H84" s="91"/>
      <c r="I84" s="91"/>
      <c r="J84" s="91"/>
      <c r="K84" s="91"/>
      <c r="L84" s="91"/>
      <c r="M84" s="91"/>
      <c r="N84" s="91"/>
      <c r="O84" s="91"/>
      <c r="P84" s="91"/>
      <c r="Q84" s="91"/>
      <c r="R84" s="91"/>
      <c r="S84" s="91"/>
      <c r="T84" s="91"/>
      <c r="U84" s="91"/>
      <c r="V84" s="91"/>
      <c r="W84" s="91"/>
      <c r="X84" s="91"/>
      <c r="Y84" s="91"/>
      <c r="Z84" s="91"/>
      <c r="AA84" s="91"/>
      <c r="AB84" s="91"/>
    </row>
    <row r="85" ht="15.75" customHeight="1">
      <c r="A85" s="127"/>
      <c r="B85" s="127"/>
      <c r="C85" s="126"/>
      <c r="D85" s="126"/>
      <c r="E85" s="126"/>
      <c r="F85" s="126"/>
      <c r="G85" s="126"/>
      <c r="H85" s="91"/>
      <c r="I85" s="91"/>
      <c r="J85" s="91"/>
      <c r="K85" s="91"/>
      <c r="L85" s="91"/>
      <c r="M85" s="91"/>
      <c r="N85" s="91"/>
      <c r="O85" s="91"/>
      <c r="P85" s="91"/>
      <c r="Q85" s="91"/>
      <c r="R85" s="91"/>
      <c r="S85" s="91"/>
      <c r="T85" s="91"/>
      <c r="U85" s="91"/>
      <c r="V85" s="91"/>
      <c r="W85" s="91"/>
      <c r="X85" s="91"/>
      <c r="Y85" s="91"/>
      <c r="Z85" s="91"/>
      <c r="AA85" s="91"/>
      <c r="AB85" s="91"/>
    </row>
    <row r="86" ht="15.75" customHeight="1">
      <c r="A86" s="127"/>
      <c r="B86" s="127"/>
      <c r="C86" s="126"/>
      <c r="D86" s="126"/>
      <c r="E86" s="126"/>
      <c r="F86" s="126"/>
      <c r="G86" s="126"/>
      <c r="H86" s="91"/>
      <c r="I86" s="91"/>
      <c r="J86" s="91"/>
      <c r="K86" s="91"/>
      <c r="L86" s="91"/>
      <c r="M86" s="91"/>
      <c r="N86" s="91"/>
      <c r="O86" s="91"/>
      <c r="P86" s="91"/>
      <c r="Q86" s="91"/>
      <c r="R86" s="91"/>
      <c r="S86" s="91"/>
      <c r="T86" s="91"/>
      <c r="U86" s="91"/>
      <c r="V86" s="91"/>
      <c r="W86" s="91"/>
      <c r="X86" s="91"/>
      <c r="Y86" s="91"/>
      <c r="Z86" s="91"/>
      <c r="AA86" s="91"/>
      <c r="AB86" s="91"/>
    </row>
    <row r="87" ht="15.75" customHeight="1">
      <c r="A87" s="127"/>
      <c r="B87" s="127"/>
      <c r="C87" s="126"/>
      <c r="D87" s="126"/>
      <c r="E87" s="126"/>
      <c r="F87" s="126"/>
      <c r="G87" s="126"/>
      <c r="H87" s="91"/>
      <c r="I87" s="91"/>
      <c r="J87" s="91"/>
      <c r="K87" s="91"/>
      <c r="L87" s="91"/>
      <c r="M87" s="91"/>
      <c r="N87" s="91"/>
      <c r="O87" s="91"/>
      <c r="P87" s="91"/>
      <c r="Q87" s="91"/>
      <c r="R87" s="91"/>
      <c r="S87" s="91"/>
      <c r="T87" s="91"/>
      <c r="U87" s="91"/>
      <c r="V87" s="91"/>
      <c r="W87" s="91"/>
      <c r="X87" s="91"/>
      <c r="Y87" s="91"/>
      <c r="Z87" s="91"/>
      <c r="AA87" s="91"/>
      <c r="AB87" s="91"/>
    </row>
    <row r="88" ht="15.75" customHeight="1">
      <c r="A88" s="128"/>
      <c r="B88" s="128"/>
      <c r="C88" s="126"/>
      <c r="D88" s="126"/>
      <c r="E88" s="126"/>
      <c r="F88" s="126"/>
      <c r="G88" s="126"/>
      <c r="H88" s="91"/>
      <c r="I88" s="91"/>
      <c r="J88" s="91"/>
      <c r="K88" s="91"/>
      <c r="L88" s="91"/>
      <c r="M88" s="91"/>
      <c r="N88" s="91"/>
      <c r="O88" s="91"/>
      <c r="P88" s="91"/>
      <c r="Q88" s="91"/>
      <c r="R88" s="91"/>
      <c r="S88" s="91"/>
      <c r="T88" s="91"/>
      <c r="U88" s="91"/>
      <c r="V88" s="91"/>
      <c r="W88" s="91"/>
      <c r="X88" s="91"/>
      <c r="Y88" s="91"/>
      <c r="Z88" s="91"/>
      <c r="AA88" s="91"/>
      <c r="AB88" s="91"/>
    </row>
    <row r="89" ht="15.75" customHeight="1">
      <c r="A89" s="128"/>
      <c r="B89" s="128"/>
      <c r="C89" s="126"/>
      <c r="D89" s="126"/>
      <c r="E89" s="126"/>
      <c r="F89" s="126"/>
      <c r="G89" s="126"/>
      <c r="H89" s="91"/>
      <c r="I89" s="91"/>
      <c r="J89" s="91"/>
      <c r="K89" s="91"/>
      <c r="L89" s="91"/>
      <c r="M89" s="91"/>
      <c r="N89" s="91"/>
      <c r="O89" s="91"/>
      <c r="P89" s="91"/>
      <c r="Q89" s="91"/>
      <c r="R89" s="91"/>
      <c r="S89" s="91"/>
      <c r="T89" s="91"/>
      <c r="U89" s="91"/>
      <c r="V89" s="91"/>
      <c r="W89" s="91"/>
      <c r="X89" s="91"/>
      <c r="Y89" s="91"/>
      <c r="Z89" s="91"/>
      <c r="AA89" s="91"/>
      <c r="AB89" s="91"/>
    </row>
    <row r="90" ht="15.75" customHeight="1">
      <c r="A90" s="127"/>
      <c r="B90" s="127"/>
      <c r="C90" s="126"/>
      <c r="D90" s="126"/>
      <c r="E90" s="126"/>
      <c r="F90" s="126"/>
      <c r="G90" s="126"/>
      <c r="H90" s="91"/>
      <c r="I90" s="91"/>
      <c r="J90" s="91"/>
      <c r="K90" s="91"/>
      <c r="L90" s="91"/>
      <c r="M90" s="91"/>
      <c r="N90" s="91"/>
      <c r="O90" s="91"/>
      <c r="P90" s="91"/>
      <c r="Q90" s="91"/>
      <c r="R90" s="91"/>
      <c r="S90" s="91"/>
      <c r="T90" s="91"/>
      <c r="U90" s="91"/>
      <c r="V90" s="91"/>
      <c r="W90" s="91"/>
      <c r="X90" s="91"/>
      <c r="Y90" s="91"/>
      <c r="Z90" s="91"/>
      <c r="AA90" s="91"/>
      <c r="AB90" s="91"/>
    </row>
    <row r="91" ht="15.75" customHeight="1">
      <c r="A91" s="127"/>
      <c r="B91" s="127"/>
      <c r="C91" s="126"/>
      <c r="D91" s="126"/>
      <c r="E91" s="126"/>
      <c r="F91" s="126"/>
      <c r="G91" s="126"/>
      <c r="H91" s="91"/>
      <c r="I91" s="91"/>
      <c r="J91" s="91"/>
      <c r="K91" s="91"/>
      <c r="L91" s="91"/>
      <c r="M91" s="91"/>
      <c r="N91" s="91"/>
      <c r="O91" s="91"/>
      <c r="P91" s="91"/>
      <c r="Q91" s="91"/>
      <c r="R91" s="91"/>
      <c r="S91" s="91"/>
      <c r="T91" s="91"/>
      <c r="U91" s="91"/>
      <c r="V91" s="91"/>
      <c r="W91" s="91"/>
      <c r="X91" s="91"/>
      <c r="Y91" s="91"/>
      <c r="Z91" s="91"/>
      <c r="AA91" s="91"/>
      <c r="AB91" s="91"/>
    </row>
    <row r="92" ht="15.75" customHeight="1">
      <c r="A92" s="126"/>
      <c r="B92" s="126"/>
      <c r="C92" s="126"/>
      <c r="D92" s="126"/>
      <c r="E92" s="126"/>
      <c r="F92" s="126"/>
      <c r="G92" s="126"/>
      <c r="H92" s="91"/>
      <c r="I92" s="91"/>
      <c r="J92" s="91"/>
      <c r="K92" s="91"/>
      <c r="L92" s="91"/>
      <c r="M92" s="91"/>
      <c r="N92" s="91"/>
      <c r="O92" s="91"/>
      <c r="P92" s="91"/>
      <c r="Q92" s="91"/>
      <c r="R92" s="91"/>
      <c r="S92" s="91"/>
      <c r="T92" s="91"/>
      <c r="U92" s="91"/>
      <c r="V92" s="91"/>
      <c r="W92" s="91"/>
      <c r="X92" s="91"/>
      <c r="Y92" s="91"/>
      <c r="Z92" s="91"/>
      <c r="AA92" s="91"/>
      <c r="AB92" s="91"/>
    </row>
    <row r="93" ht="15.75" customHeight="1">
      <c r="A93" s="126"/>
      <c r="B93" s="126"/>
      <c r="C93" s="126"/>
      <c r="D93" s="126"/>
      <c r="E93" s="126"/>
      <c r="F93" s="126"/>
      <c r="G93" s="126"/>
      <c r="H93" s="91"/>
      <c r="I93" s="91"/>
      <c r="J93" s="91"/>
      <c r="K93" s="91"/>
      <c r="L93" s="91"/>
      <c r="M93" s="91"/>
      <c r="N93" s="91"/>
      <c r="O93" s="91"/>
      <c r="P93" s="91"/>
      <c r="Q93" s="91"/>
      <c r="R93" s="91"/>
      <c r="S93" s="91"/>
      <c r="T93" s="91"/>
      <c r="U93" s="91"/>
      <c r="V93" s="91"/>
      <c r="W93" s="91"/>
      <c r="X93" s="91"/>
      <c r="Y93" s="91"/>
      <c r="Z93" s="91"/>
      <c r="AA93" s="91"/>
      <c r="AB93" s="91"/>
    </row>
    <row r="94" ht="15.75" customHeight="1">
      <c r="A94" s="127"/>
      <c r="B94" s="127"/>
      <c r="C94" s="126"/>
      <c r="D94" s="126"/>
      <c r="E94" s="126"/>
      <c r="F94" s="126"/>
      <c r="G94" s="126"/>
      <c r="H94" s="91"/>
      <c r="I94" s="91"/>
      <c r="J94" s="91"/>
      <c r="K94" s="91"/>
      <c r="L94" s="91"/>
      <c r="M94" s="91"/>
      <c r="N94" s="91"/>
      <c r="O94" s="91"/>
      <c r="P94" s="91"/>
      <c r="Q94" s="91"/>
      <c r="R94" s="91"/>
      <c r="S94" s="91"/>
      <c r="T94" s="91"/>
      <c r="U94" s="91"/>
      <c r="V94" s="91"/>
      <c r="W94" s="91"/>
      <c r="X94" s="91"/>
      <c r="Y94" s="91"/>
      <c r="Z94" s="91"/>
      <c r="AA94" s="91"/>
      <c r="AB94" s="91"/>
    </row>
    <row r="95" ht="15.75" customHeight="1">
      <c r="A95" s="127"/>
      <c r="B95" s="127"/>
      <c r="C95" s="126"/>
      <c r="D95" s="126"/>
      <c r="E95" s="126"/>
      <c r="F95" s="126"/>
      <c r="G95" s="126"/>
      <c r="H95" s="91"/>
      <c r="I95" s="91"/>
      <c r="J95" s="91"/>
      <c r="K95" s="91"/>
      <c r="L95" s="91"/>
      <c r="M95" s="91"/>
      <c r="N95" s="91"/>
      <c r="O95" s="91"/>
      <c r="P95" s="91"/>
      <c r="Q95" s="91"/>
      <c r="R95" s="91"/>
      <c r="S95" s="91"/>
      <c r="T95" s="91"/>
      <c r="U95" s="91"/>
      <c r="V95" s="91"/>
      <c r="W95" s="91"/>
      <c r="X95" s="91"/>
      <c r="Y95" s="91"/>
      <c r="Z95" s="91"/>
      <c r="AA95" s="91"/>
      <c r="AB95" s="91"/>
    </row>
    <row r="96" ht="15.75" customHeight="1">
      <c r="A96" s="127"/>
      <c r="B96" s="127"/>
      <c r="C96" s="126"/>
      <c r="D96" s="126"/>
      <c r="E96" s="126"/>
      <c r="F96" s="126"/>
      <c r="G96" s="126"/>
      <c r="H96" s="91"/>
      <c r="I96" s="91"/>
      <c r="J96" s="91"/>
      <c r="K96" s="91"/>
      <c r="L96" s="91"/>
      <c r="M96" s="91"/>
      <c r="N96" s="91"/>
      <c r="O96" s="91"/>
      <c r="P96" s="91"/>
      <c r="Q96" s="91"/>
      <c r="R96" s="91"/>
      <c r="S96" s="91"/>
      <c r="T96" s="91"/>
      <c r="U96" s="91"/>
      <c r="V96" s="91"/>
      <c r="W96" s="91"/>
      <c r="X96" s="91"/>
      <c r="Y96" s="91"/>
      <c r="Z96" s="91"/>
      <c r="AA96" s="91"/>
      <c r="AB96" s="91"/>
    </row>
    <row r="97" ht="15.75" customHeight="1">
      <c r="A97" s="127"/>
      <c r="B97" s="127"/>
      <c r="C97" s="126"/>
      <c r="D97" s="126"/>
      <c r="E97" s="126"/>
      <c r="F97" s="126"/>
      <c r="G97" s="126"/>
      <c r="H97" s="91"/>
      <c r="I97" s="91"/>
      <c r="J97" s="91"/>
      <c r="K97" s="91"/>
      <c r="L97" s="91"/>
      <c r="M97" s="91"/>
      <c r="N97" s="91"/>
      <c r="O97" s="91"/>
      <c r="P97" s="91"/>
      <c r="Q97" s="91"/>
      <c r="R97" s="91"/>
      <c r="S97" s="91"/>
      <c r="T97" s="91"/>
      <c r="U97" s="91"/>
      <c r="V97" s="91"/>
      <c r="W97" s="91"/>
      <c r="X97" s="91"/>
      <c r="Y97" s="91"/>
      <c r="Z97" s="91"/>
      <c r="AA97" s="91"/>
      <c r="AB97" s="91"/>
    </row>
    <row r="98" ht="15.75" customHeight="1">
      <c r="A98" s="127"/>
      <c r="B98" s="127"/>
      <c r="C98" s="126"/>
      <c r="D98" s="126"/>
      <c r="E98" s="126"/>
      <c r="F98" s="126"/>
      <c r="G98" s="126"/>
      <c r="H98" s="91"/>
      <c r="I98" s="91"/>
      <c r="J98" s="91"/>
      <c r="K98" s="91"/>
      <c r="L98" s="91"/>
      <c r="M98" s="91"/>
      <c r="N98" s="91"/>
      <c r="O98" s="91"/>
      <c r="P98" s="91"/>
      <c r="Q98" s="91"/>
      <c r="R98" s="91"/>
      <c r="S98" s="91"/>
      <c r="T98" s="91"/>
      <c r="U98" s="91"/>
      <c r="V98" s="91"/>
      <c r="W98" s="91"/>
      <c r="X98" s="91"/>
      <c r="Y98" s="91"/>
      <c r="Z98" s="91"/>
      <c r="AA98" s="91"/>
      <c r="AB98" s="91"/>
    </row>
    <row r="99" ht="15.75" customHeight="1">
      <c r="A99" s="127"/>
      <c r="B99" s="127"/>
      <c r="C99" s="126"/>
      <c r="D99" s="126"/>
      <c r="E99" s="126"/>
      <c r="F99" s="126"/>
      <c r="G99" s="126"/>
      <c r="H99" s="91"/>
      <c r="I99" s="91"/>
      <c r="J99" s="91"/>
      <c r="K99" s="91"/>
      <c r="L99" s="91"/>
      <c r="M99" s="91"/>
      <c r="N99" s="91"/>
      <c r="O99" s="91"/>
      <c r="P99" s="91"/>
      <c r="Q99" s="91"/>
      <c r="R99" s="91"/>
      <c r="S99" s="91"/>
      <c r="T99" s="91"/>
      <c r="U99" s="91"/>
      <c r="V99" s="91"/>
      <c r="W99" s="91"/>
      <c r="X99" s="91"/>
      <c r="Y99" s="91"/>
      <c r="Z99" s="91"/>
      <c r="AA99" s="91"/>
      <c r="AB99" s="91"/>
    </row>
    <row r="100" ht="15.75" customHeight="1">
      <c r="A100" s="127"/>
      <c r="B100" s="127"/>
      <c r="C100" s="126"/>
      <c r="D100" s="126"/>
      <c r="E100" s="126"/>
      <c r="F100" s="126"/>
      <c r="G100" s="126"/>
      <c r="H100" s="91"/>
      <c r="I100" s="91"/>
      <c r="J100" s="91"/>
      <c r="K100" s="91"/>
      <c r="L100" s="91"/>
      <c r="M100" s="91"/>
      <c r="N100" s="91"/>
      <c r="O100" s="91"/>
      <c r="P100" s="91"/>
      <c r="Q100" s="91"/>
      <c r="R100" s="91"/>
      <c r="S100" s="91"/>
      <c r="T100" s="91"/>
      <c r="U100" s="91"/>
      <c r="V100" s="91"/>
      <c r="W100" s="91"/>
      <c r="X100" s="91"/>
      <c r="Y100" s="91"/>
      <c r="Z100" s="91"/>
      <c r="AA100" s="91"/>
      <c r="AB100" s="91"/>
    </row>
    <row r="101" ht="15.75" customHeight="1">
      <c r="A101" s="127"/>
      <c r="B101" s="127"/>
      <c r="C101" s="126"/>
      <c r="D101" s="126"/>
      <c r="E101" s="126"/>
      <c r="F101" s="126"/>
      <c r="G101" s="126"/>
      <c r="H101" s="91"/>
      <c r="I101" s="91"/>
      <c r="J101" s="91"/>
      <c r="K101" s="91"/>
      <c r="L101" s="91"/>
      <c r="M101" s="91"/>
      <c r="N101" s="91"/>
      <c r="O101" s="91"/>
      <c r="P101" s="91"/>
      <c r="Q101" s="91"/>
      <c r="R101" s="91"/>
      <c r="S101" s="91"/>
      <c r="T101" s="91"/>
      <c r="U101" s="91"/>
      <c r="V101" s="91"/>
      <c r="W101" s="91"/>
      <c r="X101" s="91"/>
      <c r="Y101" s="91"/>
      <c r="Z101" s="91"/>
      <c r="AA101" s="91"/>
      <c r="AB101" s="91"/>
    </row>
    <row r="102" ht="15.75" customHeight="1">
      <c r="A102" s="127"/>
      <c r="B102" s="127"/>
      <c r="C102" s="126"/>
      <c r="D102" s="126"/>
      <c r="E102" s="126"/>
      <c r="F102" s="126"/>
      <c r="G102" s="126"/>
      <c r="H102" s="91"/>
      <c r="I102" s="91"/>
      <c r="J102" s="91"/>
      <c r="K102" s="91"/>
      <c r="L102" s="91"/>
      <c r="M102" s="91"/>
      <c r="N102" s="91"/>
      <c r="O102" s="91"/>
      <c r="P102" s="91"/>
      <c r="Q102" s="91"/>
      <c r="R102" s="91"/>
      <c r="S102" s="91"/>
      <c r="T102" s="91"/>
      <c r="U102" s="91"/>
      <c r="V102" s="91"/>
      <c r="W102" s="91"/>
      <c r="X102" s="91"/>
      <c r="Y102" s="91"/>
      <c r="Z102" s="91"/>
      <c r="AA102" s="91"/>
      <c r="AB102" s="91"/>
    </row>
    <row r="103" ht="15.75" customHeight="1">
      <c r="A103" s="127"/>
      <c r="B103" s="127"/>
      <c r="C103" s="126"/>
      <c r="D103" s="126"/>
      <c r="E103" s="126"/>
      <c r="F103" s="126"/>
      <c r="G103" s="126"/>
      <c r="H103" s="91"/>
      <c r="I103" s="91"/>
      <c r="J103" s="91"/>
      <c r="K103" s="91"/>
      <c r="L103" s="91"/>
      <c r="M103" s="91"/>
      <c r="N103" s="91"/>
      <c r="O103" s="91"/>
      <c r="P103" s="91"/>
      <c r="Q103" s="91"/>
      <c r="R103" s="91"/>
      <c r="S103" s="91"/>
      <c r="T103" s="91"/>
      <c r="U103" s="91"/>
      <c r="V103" s="91"/>
      <c r="W103" s="91"/>
      <c r="X103" s="91"/>
      <c r="Y103" s="91"/>
      <c r="Z103" s="91"/>
      <c r="AA103" s="91"/>
      <c r="AB103" s="91"/>
    </row>
    <row r="104" ht="15.75" customHeight="1">
      <c r="A104" s="136"/>
      <c r="B104" s="136"/>
      <c r="C104" s="126"/>
      <c r="D104" s="126"/>
      <c r="E104" s="126"/>
      <c r="F104" s="126"/>
      <c r="G104" s="126"/>
      <c r="H104" s="91"/>
      <c r="I104" s="91"/>
      <c r="J104" s="91"/>
      <c r="K104" s="91"/>
      <c r="L104" s="91"/>
      <c r="M104" s="91"/>
      <c r="N104" s="91"/>
      <c r="O104" s="91"/>
      <c r="P104" s="91"/>
      <c r="Q104" s="91"/>
      <c r="R104" s="91"/>
      <c r="S104" s="91"/>
      <c r="T104" s="91"/>
      <c r="U104" s="91"/>
      <c r="V104" s="91"/>
      <c r="W104" s="91"/>
      <c r="X104" s="91"/>
      <c r="Y104" s="91"/>
      <c r="Z104" s="91"/>
      <c r="AA104" s="91"/>
      <c r="AB104" s="91"/>
    </row>
    <row r="105" ht="15.75" customHeight="1">
      <c r="A105" s="127"/>
      <c r="B105" s="127"/>
      <c r="C105" s="126"/>
      <c r="D105" s="126"/>
      <c r="E105" s="126"/>
      <c r="F105" s="126"/>
      <c r="G105" s="126"/>
      <c r="H105" s="91"/>
      <c r="I105" s="91"/>
      <c r="J105" s="91"/>
      <c r="K105" s="91"/>
      <c r="L105" s="91"/>
      <c r="M105" s="91"/>
      <c r="N105" s="91"/>
      <c r="O105" s="91"/>
      <c r="P105" s="91"/>
      <c r="Q105" s="91"/>
      <c r="R105" s="91"/>
      <c r="S105" s="91"/>
      <c r="T105" s="91"/>
      <c r="U105" s="91"/>
      <c r="V105" s="91"/>
      <c r="W105" s="91"/>
      <c r="X105" s="91"/>
      <c r="Y105" s="91"/>
      <c r="Z105" s="91"/>
      <c r="AA105" s="91"/>
      <c r="AB105" s="91"/>
    </row>
    <row r="106" ht="15.75" customHeight="1">
      <c r="A106" s="127"/>
      <c r="B106" s="127"/>
      <c r="C106" s="126"/>
      <c r="D106" s="126"/>
      <c r="E106" s="126"/>
      <c r="F106" s="126"/>
      <c r="G106" s="126"/>
      <c r="H106" s="91"/>
      <c r="I106" s="91"/>
      <c r="J106" s="91"/>
      <c r="K106" s="91"/>
      <c r="L106" s="91"/>
      <c r="M106" s="91"/>
      <c r="N106" s="91"/>
      <c r="O106" s="91"/>
      <c r="P106" s="91"/>
      <c r="Q106" s="91"/>
      <c r="R106" s="91"/>
      <c r="S106" s="91"/>
      <c r="T106" s="91"/>
      <c r="U106" s="91"/>
      <c r="V106" s="91"/>
      <c r="W106" s="91"/>
      <c r="X106" s="91"/>
      <c r="Y106" s="91"/>
      <c r="Z106" s="91"/>
      <c r="AA106" s="91"/>
      <c r="AB106" s="91"/>
    </row>
    <row r="107" ht="15.75" customHeight="1">
      <c r="A107" s="127"/>
      <c r="B107" s="127"/>
      <c r="C107" s="126"/>
      <c r="D107" s="126"/>
      <c r="E107" s="126"/>
      <c r="F107" s="126"/>
      <c r="G107" s="126"/>
      <c r="H107" s="91"/>
      <c r="I107" s="91"/>
      <c r="J107" s="91"/>
      <c r="K107" s="91"/>
      <c r="L107" s="91"/>
      <c r="M107" s="91"/>
      <c r="N107" s="91"/>
      <c r="O107" s="91"/>
      <c r="P107" s="91"/>
      <c r="Q107" s="91"/>
      <c r="R107" s="91"/>
      <c r="S107" s="91"/>
      <c r="T107" s="91"/>
      <c r="U107" s="91"/>
      <c r="V107" s="91"/>
      <c r="W107" s="91"/>
      <c r="X107" s="91"/>
      <c r="Y107" s="91"/>
      <c r="Z107" s="91"/>
      <c r="AA107" s="91"/>
      <c r="AB107" s="91"/>
    </row>
    <row r="108" ht="15.75" customHeight="1">
      <c r="A108" s="127"/>
      <c r="B108" s="127"/>
      <c r="C108" s="126"/>
      <c r="D108" s="126"/>
      <c r="E108" s="126"/>
      <c r="F108" s="126"/>
      <c r="G108" s="126"/>
      <c r="H108" s="91"/>
      <c r="I108" s="91"/>
      <c r="J108" s="91"/>
      <c r="K108" s="91"/>
      <c r="L108" s="91"/>
      <c r="M108" s="91"/>
      <c r="N108" s="91"/>
      <c r="O108" s="91"/>
      <c r="P108" s="91"/>
      <c r="Q108" s="91"/>
      <c r="R108" s="91"/>
      <c r="S108" s="91"/>
      <c r="T108" s="91"/>
      <c r="U108" s="91"/>
      <c r="V108" s="91"/>
      <c r="W108" s="91"/>
      <c r="X108" s="91"/>
      <c r="Y108" s="91"/>
      <c r="Z108" s="91"/>
      <c r="AA108" s="91"/>
      <c r="AB108" s="91"/>
    </row>
    <row r="109" ht="15.75" customHeight="1">
      <c r="A109" s="127"/>
      <c r="B109" s="127"/>
      <c r="C109" s="126"/>
      <c r="D109" s="126"/>
      <c r="E109" s="126"/>
      <c r="F109" s="126"/>
      <c r="G109" s="126"/>
      <c r="H109" s="91"/>
      <c r="I109" s="91"/>
      <c r="J109" s="91"/>
      <c r="K109" s="91"/>
      <c r="L109" s="91"/>
      <c r="M109" s="91"/>
      <c r="N109" s="91"/>
      <c r="O109" s="91"/>
      <c r="P109" s="91"/>
      <c r="Q109" s="91"/>
      <c r="R109" s="91"/>
      <c r="S109" s="91"/>
      <c r="T109" s="91"/>
      <c r="U109" s="91"/>
      <c r="V109" s="91"/>
      <c r="W109" s="91"/>
      <c r="X109" s="91"/>
      <c r="Y109" s="91"/>
      <c r="Z109" s="91"/>
      <c r="AA109" s="91"/>
      <c r="AB109" s="91"/>
    </row>
    <row r="110" ht="15.75" customHeight="1">
      <c r="A110" s="127"/>
      <c r="B110" s="127"/>
      <c r="C110" s="126"/>
      <c r="D110" s="126"/>
      <c r="E110" s="126"/>
      <c r="F110" s="126"/>
      <c r="G110" s="126"/>
      <c r="H110" s="91"/>
      <c r="I110" s="91"/>
      <c r="J110" s="91"/>
      <c r="K110" s="91"/>
      <c r="L110" s="91"/>
      <c r="M110" s="91"/>
      <c r="N110" s="91"/>
      <c r="O110" s="91"/>
      <c r="P110" s="91"/>
      <c r="Q110" s="91"/>
      <c r="R110" s="91"/>
      <c r="S110" s="91"/>
      <c r="T110" s="91"/>
      <c r="U110" s="91"/>
      <c r="V110" s="91"/>
      <c r="W110" s="91"/>
      <c r="X110" s="91"/>
      <c r="Y110" s="91"/>
      <c r="Z110" s="91"/>
      <c r="AA110" s="91"/>
      <c r="AB110" s="91"/>
    </row>
    <row r="111" ht="15.75" customHeight="1">
      <c r="A111" s="127"/>
      <c r="B111" s="127"/>
      <c r="C111" s="126"/>
      <c r="D111" s="126"/>
      <c r="E111" s="126"/>
      <c r="F111" s="126"/>
      <c r="G111" s="126"/>
      <c r="H111" s="91"/>
      <c r="I111" s="91"/>
      <c r="J111" s="91"/>
      <c r="K111" s="91"/>
      <c r="L111" s="91"/>
      <c r="M111" s="91"/>
      <c r="N111" s="91"/>
      <c r="O111" s="91"/>
      <c r="P111" s="91"/>
      <c r="Q111" s="91"/>
      <c r="R111" s="91"/>
      <c r="S111" s="91"/>
      <c r="T111" s="91"/>
      <c r="U111" s="91"/>
      <c r="V111" s="91"/>
      <c r="W111" s="91"/>
      <c r="X111" s="91"/>
      <c r="Y111" s="91"/>
      <c r="Z111" s="91"/>
      <c r="AA111" s="91"/>
      <c r="AB111" s="91"/>
    </row>
    <row r="112" ht="15.75" customHeight="1">
      <c r="A112" s="127"/>
      <c r="B112" s="127"/>
      <c r="C112" s="126"/>
      <c r="D112" s="126"/>
      <c r="E112" s="126"/>
      <c r="F112" s="126"/>
      <c r="G112" s="126"/>
      <c r="H112" s="91"/>
      <c r="I112" s="91"/>
      <c r="J112" s="91"/>
      <c r="K112" s="91"/>
      <c r="L112" s="91"/>
      <c r="M112" s="91"/>
      <c r="N112" s="91"/>
      <c r="O112" s="91"/>
      <c r="P112" s="91"/>
      <c r="Q112" s="91"/>
      <c r="R112" s="91"/>
      <c r="S112" s="91"/>
      <c r="T112" s="91"/>
      <c r="U112" s="91"/>
      <c r="V112" s="91"/>
      <c r="W112" s="91"/>
      <c r="X112" s="91"/>
      <c r="Y112" s="91"/>
      <c r="Z112" s="91"/>
      <c r="AA112" s="91"/>
      <c r="AB112" s="91"/>
    </row>
    <row r="113" ht="15.75" customHeight="1">
      <c r="A113" s="127"/>
      <c r="B113" s="127"/>
      <c r="C113" s="126"/>
      <c r="D113" s="126"/>
      <c r="E113" s="126"/>
      <c r="F113" s="126"/>
      <c r="G113" s="126"/>
      <c r="H113" s="91"/>
      <c r="I113" s="91"/>
      <c r="J113" s="91"/>
      <c r="K113" s="91"/>
      <c r="L113" s="91"/>
      <c r="M113" s="91"/>
      <c r="N113" s="91"/>
      <c r="O113" s="91"/>
      <c r="P113" s="91"/>
      <c r="Q113" s="91"/>
      <c r="R113" s="91"/>
      <c r="S113" s="91"/>
      <c r="T113" s="91"/>
      <c r="U113" s="91"/>
      <c r="V113" s="91"/>
      <c r="W113" s="91"/>
      <c r="X113" s="91"/>
      <c r="Y113" s="91"/>
      <c r="Z113" s="91"/>
      <c r="AA113" s="91"/>
      <c r="AB113" s="91"/>
    </row>
    <row r="114" ht="15.75" customHeight="1">
      <c r="A114" s="127"/>
      <c r="B114" s="127"/>
      <c r="C114" s="126"/>
      <c r="D114" s="126"/>
      <c r="E114" s="126"/>
      <c r="F114" s="126"/>
      <c r="G114" s="126"/>
      <c r="H114" s="91"/>
      <c r="I114" s="91"/>
      <c r="J114" s="91"/>
      <c r="K114" s="91"/>
      <c r="L114" s="91"/>
      <c r="M114" s="91"/>
      <c r="N114" s="91"/>
      <c r="O114" s="91"/>
      <c r="P114" s="91"/>
      <c r="Q114" s="91"/>
      <c r="R114" s="91"/>
      <c r="S114" s="91"/>
      <c r="T114" s="91"/>
      <c r="U114" s="91"/>
      <c r="V114" s="91"/>
      <c r="W114" s="91"/>
      <c r="X114" s="91"/>
      <c r="Y114" s="91"/>
      <c r="Z114" s="91"/>
      <c r="AA114" s="91"/>
      <c r="AB114" s="91"/>
    </row>
    <row r="115" ht="15.75" customHeight="1">
      <c r="A115" s="127"/>
      <c r="B115" s="127"/>
      <c r="C115" s="126"/>
      <c r="D115" s="126"/>
      <c r="E115" s="126"/>
      <c r="F115" s="126"/>
      <c r="G115" s="126"/>
      <c r="H115" s="91"/>
      <c r="I115" s="91"/>
      <c r="J115" s="91"/>
      <c r="K115" s="91"/>
      <c r="L115" s="91"/>
      <c r="M115" s="91"/>
      <c r="N115" s="91"/>
      <c r="O115" s="91"/>
      <c r="P115" s="91"/>
      <c r="Q115" s="91"/>
      <c r="R115" s="91"/>
      <c r="S115" s="91"/>
      <c r="T115" s="91"/>
      <c r="U115" s="91"/>
      <c r="V115" s="91"/>
      <c r="W115" s="91"/>
      <c r="X115" s="91"/>
      <c r="Y115" s="91"/>
      <c r="Z115" s="91"/>
      <c r="AA115" s="91"/>
      <c r="AB115" s="91"/>
    </row>
    <row r="116" ht="15.75" customHeight="1">
      <c r="A116" s="127"/>
      <c r="B116" s="127"/>
      <c r="C116" s="126"/>
      <c r="D116" s="126"/>
      <c r="E116" s="126"/>
      <c r="F116" s="126"/>
      <c r="G116" s="126"/>
      <c r="H116" s="91"/>
      <c r="I116" s="91"/>
      <c r="J116" s="91"/>
      <c r="K116" s="91"/>
      <c r="L116" s="91"/>
      <c r="M116" s="91"/>
      <c r="N116" s="91"/>
      <c r="O116" s="91"/>
      <c r="P116" s="91"/>
      <c r="Q116" s="91"/>
      <c r="R116" s="91"/>
      <c r="S116" s="91"/>
      <c r="T116" s="91"/>
      <c r="U116" s="91"/>
      <c r="V116" s="91"/>
      <c r="W116" s="91"/>
      <c r="X116" s="91"/>
      <c r="Y116" s="91"/>
      <c r="Z116" s="91"/>
      <c r="AA116" s="91"/>
      <c r="AB116" s="91"/>
    </row>
    <row r="117" ht="15.75" customHeight="1">
      <c r="A117" s="127"/>
      <c r="B117" s="127"/>
      <c r="C117" s="126"/>
      <c r="D117" s="126"/>
      <c r="E117" s="126"/>
      <c r="F117" s="126"/>
      <c r="G117" s="126"/>
      <c r="H117" s="91"/>
      <c r="I117" s="91"/>
      <c r="J117" s="91"/>
      <c r="K117" s="91"/>
      <c r="L117" s="91"/>
      <c r="M117" s="91"/>
      <c r="N117" s="91"/>
      <c r="O117" s="91"/>
      <c r="P117" s="91"/>
      <c r="Q117" s="91"/>
      <c r="R117" s="91"/>
      <c r="S117" s="91"/>
      <c r="T117" s="91"/>
      <c r="U117" s="91"/>
      <c r="V117" s="91"/>
      <c r="W117" s="91"/>
      <c r="X117" s="91"/>
      <c r="Y117" s="91"/>
      <c r="Z117" s="91"/>
      <c r="AA117" s="91"/>
      <c r="AB117" s="91"/>
    </row>
    <row r="118" ht="15.75" customHeight="1">
      <c r="A118" s="127"/>
      <c r="B118" s="127"/>
      <c r="C118" s="126"/>
      <c r="D118" s="126"/>
      <c r="E118" s="126"/>
      <c r="F118" s="126"/>
      <c r="G118" s="126"/>
      <c r="H118" s="91"/>
      <c r="I118" s="91"/>
      <c r="J118" s="91"/>
      <c r="K118" s="91"/>
      <c r="L118" s="91"/>
      <c r="M118" s="91"/>
      <c r="N118" s="91"/>
      <c r="O118" s="91"/>
      <c r="P118" s="91"/>
      <c r="Q118" s="91"/>
      <c r="R118" s="91"/>
      <c r="S118" s="91"/>
      <c r="T118" s="91"/>
      <c r="U118" s="91"/>
      <c r="V118" s="91"/>
      <c r="W118" s="91"/>
      <c r="X118" s="91"/>
      <c r="Y118" s="91"/>
      <c r="Z118" s="91"/>
      <c r="AA118" s="91"/>
      <c r="AB118" s="91"/>
    </row>
    <row r="119" ht="15.75" customHeight="1">
      <c r="A119" s="127"/>
      <c r="B119" s="127"/>
      <c r="C119" s="126"/>
      <c r="D119" s="126"/>
      <c r="E119" s="126"/>
      <c r="F119" s="126"/>
      <c r="G119" s="126"/>
      <c r="H119" s="91"/>
      <c r="I119" s="91"/>
      <c r="J119" s="91"/>
      <c r="K119" s="91"/>
      <c r="L119" s="91"/>
      <c r="M119" s="91"/>
      <c r="N119" s="91"/>
      <c r="O119" s="91"/>
      <c r="P119" s="91"/>
      <c r="Q119" s="91"/>
      <c r="R119" s="91"/>
      <c r="S119" s="91"/>
      <c r="T119" s="91"/>
      <c r="U119" s="91"/>
      <c r="V119" s="91"/>
      <c r="W119" s="91"/>
      <c r="X119" s="91"/>
      <c r="Y119" s="91"/>
      <c r="Z119" s="91"/>
      <c r="AA119" s="91"/>
      <c r="AB119" s="91"/>
    </row>
    <row r="120" ht="15.75" customHeight="1">
      <c r="A120" s="127"/>
      <c r="B120" s="127"/>
      <c r="C120" s="126"/>
      <c r="D120" s="126"/>
      <c r="E120" s="126"/>
      <c r="F120" s="126"/>
      <c r="G120" s="126"/>
      <c r="H120" s="91"/>
      <c r="I120" s="91"/>
      <c r="J120" s="91"/>
      <c r="K120" s="91"/>
      <c r="L120" s="91"/>
      <c r="M120" s="91"/>
      <c r="N120" s="91"/>
      <c r="O120" s="91"/>
      <c r="P120" s="91"/>
      <c r="Q120" s="91"/>
      <c r="R120" s="91"/>
      <c r="S120" s="91"/>
      <c r="T120" s="91"/>
      <c r="U120" s="91"/>
      <c r="V120" s="91"/>
      <c r="W120" s="91"/>
      <c r="X120" s="91"/>
      <c r="Y120" s="91"/>
      <c r="Z120" s="91"/>
      <c r="AA120" s="91"/>
      <c r="AB120" s="91"/>
    </row>
    <row r="121" ht="15.75" customHeight="1">
      <c r="A121" s="127"/>
      <c r="B121" s="127"/>
      <c r="C121" s="126"/>
      <c r="D121" s="126"/>
      <c r="E121" s="126"/>
      <c r="F121" s="126"/>
      <c r="G121" s="126"/>
      <c r="H121" s="91"/>
      <c r="I121" s="91"/>
      <c r="J121" s="91"/>
      <c r="K121" s="91"/>
      <c r="L121" s="91"/>
      <c r="M121" s="91"/>
      <c r="N121" s="91"/>
      <c r="O121" s="91"/>
      <c r="P121" s="91"/>
      <c r="Q121" s="91"/>
      <c r="R121" s="91"/>
      <c r="S121" s="91"/>
      <c r="T121" s="91"/>
      <c r="U121" s="91"/>
      <c r="V121" s="91"/>
      <c r="W121" s="91"/>
      <c r="X121" s="91"/>
      <c r="Y121" s="91"/>
      <c r="Z121" s="91"/>
      <c r="AA121" s="91"/>
      <c r="AB121" s="91"/>
    </row>
    <row r="122" ht="15.75" customHeight="1">
      <c r="A122" s="127"/>
      <c r="B122" s="127"/>
      <c r="C122" s="126"/>
      <c r="D122" s="126"/>
      <c r="E122" s="126"/>
      <c r="F122" s="126"/>
      <c r="G122" s="126"/>
      <c r="H122" s="91"/>
      <c r="I122" s="91"/>
      <c r="J122" s="91"/>
      <c r="K122" s="91"/>
      <c r="L122" s="91"/>
      <c r="M122" s="91"/>
      <c r="N122" s="91"/>
      <c r="O122" s="91"/>
      <c r="P122" s="91"/>
      <c r="Q122" s="91"/>
      <c r="R122" s="91"/>
      <c r="S122" s="91"/>
      <c r="T122" s="91"/>
      <c r="U122" s="91"/>
      <c r="V122" s="91"/>
      <c r="W122" s="91"/>
      <c r="X122" s="91"/>
      <c r="Y122" s="91"/>
      <c r="Z122" s="91"/>
      <c r="AA122" s="91"/>
      <c r="AB122" s="91"/>
    </row>
    <row r="123" ht="15.75" customHeight="1">
      <c r="A123" s="127"/>
      <c r="B123" s="127"/>
      <c r="C123" s="126"/>
      <c r="D123" s="126"/>
      <c r="E123" s="126"/>
      <c r="F123" s="126"/>
      <c r="G123" s="126"/>
      <c r="H123" s="91"/>
      <c r="I123" s="91"/>
      <c r="J123" s="91"/>
      <c r="K123" s="91"/>
      <c r="L123" s="91"/>
      <c r="M123" s="91"/>
      <c r="N123" s="91"/>
      <c r="O123" s="91"/>
      <c r="P123" s="91"/>
      <c r="Q123" s="91"/>
      <c r="R123" s="91"/>
      <c r="S123" s="91"/>
      <c r="T123" s="91"/>
      <c r="U123" s="91"/>
      <c r="V123" s="91"/>
      <c r="W123" s="91"/>
      <c r="X123" s="91"/>
      <c r="Y123" s="91"/>
      <c r="Z123" s="91"/>
      <c r="AA123" s="91"/>
      <c r="AB123" s="91"/>
    </row>
    <row r="124" ht="15.75" customHeight="1">
      <c r="A124" s="127"/>
      <c r="B124" s="127"/>
      <c r="C124" s="126"/>
      <c r="D124" s="126"/>
      <c r="E124" s="126"/>
      <c r="F124" s="126"/>
      <c r="G124" s="126"/>
      <c r="H124" s="91"/>
      <c r="I124" s="91"/>
      <c r="J124" s="91"/>
      <c r="K124" s="91"/>
      <c r="L124" s="91"/>
      <c r="M124" s="91"/>
      <c r="N124" s="91"/>
      <c r="O124" s="91"/>
      <c r="P124" s="91"/>
      <c r="Q124" s="91"/>
      <c r="R124" s="91"/>
      <c r="S124" s="91"/>
      <c r="T124" s="91"/>
      <c r="U124" s="91"/>
      <c r="V124" s="91"/>
      <c r="W124" s="91"/>
      <c r="X124" s="91"/>
      <c r="Y124" s="91"/>
      <c r="Z124" s="91"/>
      <c r="AA124" s="91"/>
      <c r="AB124" s="91"/>
    </row>
    <row r="125" ht="15.75" customHeight="1">
      <c r="A125" s="127"/>
      <c r="B125" s="127"/>
      <c r="C125" s="126"/>
      <c r="D125" s="126"/>
      <c r="E125" s="126"/>
      <c r="F125" s="126"/>
      <c r="G125" s="126"/>
      <c r="H125" s="91"/>
      <c r="I125" s="91"/>
      <c r="J125" s="91"/>
      <c r="K125" s="91"/>
      <c r="L125" s="91"/>
      <c r="M125" s="91"/>
      <c r="N125" s="91"/>
      <c r="O125" s="91"/>
      <c r="P125" s="91"/>
      <c r="Q125" s="91"/>
      <c r="R125" s="91"/>
      <c r="S125" s="91"/>
      <c r="T125" s="91"/>
      <c r="U125" s="91"/>
      <c r="V125" s="91"/>
      <c r="W125" s="91"/>
      <c r="X125" s="91"/>
      <c r="Y125" s="91"/>
      <c r="Z125" s="91"/>
      <c r="AA125" s="91"/>
      <c r="AB125" s="91"/>
    </row>
    <row r="126" ht="15.75" customHeight="1">
      <c r="A126" s="127"/>
      <c r="B126" s="127"/>
      <c r="C126" s="126"/>
      <c r="D126" s="126"/>
      <c r="E126" s="126"/>
      <c r="F126" s="126"/>
      <c r="G126" s="126"/>
      <c r="H126" s="91"/>
      <c r="I126" s="91"/>
      <c r="J126" s="91"/>
      <c r="K126" s="91"/>
      <c r="L126" s="91"/>
      <c r="M126" s="91"/>
      <c r="N126" s="91"/>
      <c r="O126" s="91"/>
      <c r="P126" s="91"/>
      <c r="Q126" s="91"/>
      <c r="R126" s="91"/>
      <c r="S126" s="91"/>
      <c r="T126" s="91"/>
      <c r="U126" s="91"/>
      <c r="V126" s="91"/>
      <c r="W126" s="91"/>
      <c r="X126" s="91"/>
      <c r="Y126" s="91"/>
      <c r="Z126" s="91"/>
      <c r="AA126" s="91"/>
      <c r="AB126" s="91"/>
    </row>
    <row r="127" ht="15.75" customHeight="1">
      <c r="A127" s="127"/>
      <c r="B127" s="127"/>
      <c r="C127" s="126"/>
      <c r="D127" s="126"/>
      <c r="E127" s="126"/>
      <c r="F127" s="126"/>
      <c r="G127" s="126"/>
      <c r="H127" s="91"/>
      <c r="I127" s="91"/>
      <c r="J127" s="91"/>
      <c r="K127" s="91"/>
      <c r="L127" s="91"/>
      <c r="M127" s="91"/>
      <c r="N127" s="91"/>
      <c r="O127" s="91"/>
      <c r="P127" s="91"/>
      <c r="Q127" s="91"/>
      <c r="R127" s="91"/>
      <c r="S127" s="91"/>
      <c r="T127" s="91"/>
      <c r="U127" s="91"/>
      <c r="V127" s="91"/>
      <c r="W127" s="91"/>
      <c r="X127" s="91"/>
      <c r="Y127" s="91"/>
      <c r="Z127" s="91"/>
      <c r="AA127" s="91"/>
      <c r="AB127" s="91"/>
    </row>
    <row r="128" ht="15.75" customHeight="1">
      <c r="A128" s="127"/>
      <c r="B128" s="127"/>
      <c r="C128" s="126"/>
      <c r="D128" s="126"/>
      <c r="E128" s="126"/>
      <c r="F128" s="126"/>
      <c r="G128" s="126"/>
      <c r="H128" s="91"/>
      <c r="I128" s="91"/>
      <c r="J128" s="91"/>
      <c r="K128" s="91"/>
      <c r="L128" s="91"/>
      <c r="M128" s="91"/>
      <c r="N128" s="91"/>
      <c r="O128" s="91"/>
      <c r="P128" s="91"/>
      <c r="Q128" s="91"/>
      <c r="R128" s="91"/>
      <c r="S128" s="91"/>
      <c r="T128" s="91"/>
      <c r="U128" s="91"/>
      <c r="V128" s="91"/>
      <c r="W128" s="91"/>
      <c r="X128" s="91"/>
      <c r="Y128" s="91"/>
      <c r="Z128" s="91"/>
      <c r="AA128" s="91"/>
      <c r="AB128" s="91"/>
    </row>
    <row r="129" ht="15.75" customHeight="1">
      <c r="A129" s="127"/>
      <c r="B129" s="127"/>
      <c r="C129" s="126"/>
      <c r="D129" s="126"/>
      <c r="E129" s="126"/>
      <c r="F129" s="126"/>
      <c r="G129" s="126"/>
      <c r="H129" s="91"/>
      <c r="I129" s="91"/>
      <c r="J129" s="91"/>
      <c r="K129" s="91"/>
      <c r="L129" s="91"/>
      <c r="M129" s="91"/>
      <c r="N129" s="91"/>
      <c r="O129" s="91"/>
      <c r="P129" s="91"/>
      <c r="Q129" s="91"/>
      <c r="R129" s="91"/>
      <c r="S129" s="91"/>
      <c r="T129" s="91"/>
      <c r="U129" s="91"/>
      <c r="V129" s="91"/>
      <c r="W129" s="91"/>
      <c r="X129" s="91"/>
      <c r="Y129" s="91"/>
      <c r="Z129" s="91"/>
      <c r="AA129" s="91"/>
      <c r="AB129" s="91"/>
    </row>
    <row r="130" ht="15.75" customHeight="1">
      <c r="A130" s="127"/>
      <c r="B130" s="127"/>
      <c r="C130" s="126"/>
      <c r="D130" s="126"/>
      <c r="E130" s="126"/>
      <c r="F130" s="126"/>
      <c r="G130" s="126"/>
      <c r="H130" s="91"/>
      <c r="I130" s="91"/>
      <c r="J130" s="91"/>
      <c r="K130" s="91"/>
      <c r="L130" s="91"/>
      <c r="M130" s="91"/>
      <c r="N130" s="91"/>
      <c r="O130" s="91"/>
      <c r="P130" s="91"/>
      <c r="Q130" s="91"/>
      <c r="R130" s="91"/>
      <c r="S130" s="91"/>
      <c r="T130" s="91"/>
      <c r="U130" s="91"/>
      <c r="V130" s="91"/>
      <c r="W130" s="91"/>
      <c r="X130" s="91"/>
      <c r="Y130" s="91"/>
      <c r="Z130" s="91"/>
      <c r="AA130" s="91"/>
      <c r="AB130" s="91"/>
    </row>
    <row r="131" ht="15.75" customHeight="1">
      <c r="A131" s="127"/>
      <c r="B131" s="127"/>
      <c r="C131" s="126"/>
      <c r="D131" s="126"/>
      <c r="E131" s="126"/>
      <c r="F131" s="126"/>
      <c r="G131" s="126"/>
      <c r="H131" s="91"/>
      <c r="I131" s="91"/>
      <c r="J131" s="91"/>
      <c r="K131" s="91"/>
      <c r="L131" s="91"/>
      <c r="M131" s="91"/>
      <c r="N131" s="91"/>
      <c r="O131" s="91"/>
      <c r="P131" s="91"/>
      <c r="Q131" s="91"/>
      <c r="R131" s="91"/>
      <c r="S131" s="91"/>
      <c r="T131" s="91"/>
      <c r="U131" s="91"/>
      <c r="V131" s="91"/>
      <c r="W131" s="91"/>
      <c r="X131" s="91"/>
      <c r="Y131" s="91"/>
      <c r="Z131" s="91"/>
      <c r="AA131" s="91"/>
      <c r="AB131" s="91"/>
    </row>
    <row r="132" ht="15.75" customHeight="1">
      <c r="A132" s="127"/>
      <c r="B132" s="127"/>
      <c r="C132" s="126"/>
      <c r="D132" s="126"/>
      <c r="E132" s="126"/>
      <c r="F132" s="126"/>
      <c r="G132" s="126"/>
      <c r="H132" s="91"/>
      <c r="I132" s="91"/>
      <c r="J132" s="91"/>
      <c r="K132" s="91"/>
      <c r="L132" s="91"/>
      <c r="M132" s="91"/>
      <c r="N132" s="91"/>
      <c r="O132" s="91"/>
      <c r="P132" s="91"/>
      <c r="Q132" s="91"/>
      <c r="R132" s="91"/>
      <c r="S132" s="91"/>
      <c r="T132" s="91"/>
      <c r="U132" s="91"/>
      <c r="V132" s="91"/>
      <c r="W132" s="91"/>
      <c r="X132" s="91"/>
      <c r="Y132" s="91"/>
      <c r="Z132" s="91"/>
      <c r="AA132" s="91"/>
      <c r="AB132" s="91"/>
    </row>
    <row r="133" ht="15.75" customHeight="1">
      <c r="A133" s="127"/>
      <c r="B133" s="127"/>
      <c r="C133" s="126"/>
      <c r="D133" s="126"/>
      <c r="E133" s="126"/>
      <c r="F133" s="126"/>
      <c r="G133" s="126"/>
      <c r="H133" s="91"/>
      <c r="I133" s="91"/>
      <c r="J133" s="91"/>
      <c r="K133" s="91"/>
      <c r="L133" s="91"/>
      <c r="M133" s="91"/>
      <c r="N133" s="91"/>
      <c r="O133" s="91"/>
      <c r="P133" s="91"/>
      <c r="Q133" s="91"/>
      <c r="R133" s="91"/>
      <c r="S133" s="91"/>
      <c r="T133" s="91"/>
      <c r="U133" s="91"/>
      <c r="V133" s="91"/>
      <c r="W133" s="91"/>
      <c r="X133" s="91"/>
      <c r="Y133" s="91"/>
      <c r="Z133" s="91"/>
      <c r="AA133" s="91"/>
      <c r="AB133" s="91"/>
    </row>
    <row r="134" ht="15.75" customHeight="1">
      <c r="A134" s="127"/>
      <c r="B134" s="127"/>
      <c r="C134" s="126"/>
      <c r="D134" s="126"/>
      <c r="E134" s="126"/>
      <c r="F134" s="126"/>
      <c r="G134" s="126"/>
      <c r="H134" s="91"/>
      <c r="I134" s="91"/>
      <c r="J134" s="91"/>
      <c r="K134" s="91"/>
      <c r="L134" s="91"/>
      <c r="M134" s="91"/>
      <c r="N134" s="91"/>
      <c r="O134" s="91"/>
      <c r="P134" s="91"/>
      <c r="Q134" s="91"/>
      <c r="R134" s="91"/>
      <c r="S134" s="91"/>
      <c r="T134" s="91"/>
      <c r="U134" s="91"/>
      <c r="V134" s="91"/>
      <c r="W134" s="91"/>
      <c r="X134" s="91"/>
      <c r="Y134" s="91"/>
      <c r="Z134" s="91"/>
      <c r="AA134" s="91"/>
      <c r="AB134" s="91"/>
    </row>
    <row r="135" ht="15.75" customHeight="1">
      <c r="A135" s="127"/>
      <c r="B135" s="127"/>
      <c r="C135" s="126"/>
      <c r="D135" s="126"/>
      <c r="E135" s="126"/>
      <c r="F135" s="126"/>
      <c r="G135" s="126"/>
      <c r="H135" s="91"/>
      <c r="I135" s="91"/>
      <c r="J135" s="91"/>
      <c r="K135" s="91"/>
      <c r="L135" s="91"/>
      <c r="M135" s="91"/>
      <c r="N135" s="91"/>
      <c r="O135" s="91"/>
      <c r="P135" s="91"/>
      <c r="Q135" s="91"/>
      <c r="R135" s="91"/>
      <c r="S135" s="91"/>
      <c r="T135" s="91"/>
      <c r="U135" s="91"/>
      <c r="V135" s="91"/>
      <c r="W135" s="91"/>
      <c r="X135" s="91"/>
      <c r="Y135" s="91"/>
      <c r="Z135" s="91"/>
      <c r="AA135" s="91"/>
      <c r="AB135" s="91"/>
    </row>
    <row r="136" ht="15.75" customHeight="1">
      <c r="A136" s="127"/>
      <c r="B136" s="127"/>
      <c r="C136" s="126"/>
      <c r="D136" s="126"/>
      <c r="E136" s="126"/>
      <c r="F136" s="126"/>
      <c r="G136" s="126"/>
      <c r="H136" s="91"/>
      <c r="I136" s="91"/>
      <c r="J136" s="91"/>
      <c r="K136" s="91"/>
      <c r="L136" s="91"/>
      <c r="M136" s="91"/>
      <c r="N136" s="91"/>
      <c r="O136" s="91"/>
      <c r="P136" s="91"/>
      <c r="Q136" s="91"/>
      <c r="R136" s="91"/>
      <c r="S136" s="91"/>
      <c r="T136" s="91"/>
      <c r="U136" s="91"/>
      <c r="V136" s="91"/>
      <c r="W136" s="91"/>
      <c r="X136" s="91"/>
      <c r="Y136" s="91"/>
      <c r="Z136" s="91"/>
      <c r="AA136" s="91"/>
      <c r="AB136" s="91"/>
    </row>
    <row r="137" ht="15.75" customHeight="1">
      <c r="A137" s="127"/>
      <c r="B137" s="127"/>
      <c r="C137" s="126"/>
      <c r="D137" s="126"/>
      <c r="E137" s="126"/>
      <c r="F137" s="126"/>
      <c r="G137" s="126"/>
      <c r="H137" s="91"/>
      <c r="I137" s="91"/>
      <c r="J137" s="91"/>
      <c r="K137" s="91"/>
      <c r="L137" s="91"/>
      <c r="M137" s="91"/>
      <c r="N137" s="91"/>
      <c r="O137" s="91"/>
      <c r="P137" s="91"/>
      <c r="Q137" s="91"/>
      <c r="R137" s="91"/>
      <c r="S137" s="91"/>
      <c r="T137" s="91"/>
      <c r="U137" s="91"/>
      <c r="V137" s="91"/>
      <c r="W137" s="91"/>
      <c r="X137" s="91"/>
      <c r="Y137" s="91"/>
      <c r="Z137" s="91"/>
      <c r="AA137" s="91"/>
      <c r="AB137" s="91"/>
    </row>
    <row r="138" ht="15.75" customHeight="1">
      <c r="A138" s="127"/>
      <c r="B138" s="127"/>
      <c r="C138" s="126"/>
      <c r="D138" s="126"/>
      <c r="E138" s="126"/>
      <c r="F138" s="126"/>
      <c r="G138" s="126"/>
      <c r="H138" s="91"/>
      <c r="I138" s="91"/>
      <c r="J138" s="91"/>
      <c r="K138" s="91"/>
      <c r="L138" s="91"/>
      <c r="M138" s="91"/>
      <c r="N138" s="91"/>
      <c r="O138" s="91"/>
      <c r="P138" s="91"/>
      <c r="Q138" s="91"/>
      <c r="R138" s="91"/>
      <c r="S138" s="91"/>
      <c r="T138" s="91"/>
      <c r="U138" s="91"/>
      <c r="V138" s="91"/>
      <c r="W138" s="91"/>
      <c r="X138" s="91"/>
      <c r="Y138" s="91"/>
      <c r="Z138" s="91"/>
      <c r="AA138" s="91"/>
      <c r="AB138" s="91"/>
    </row>
    <row r="139" ht="15.75" customHeight="1">
      <c r="A139" s="127"/>
      <c r="B139" s="127"/>
      <c r="C139" s="126"/>
      <c r="D139" s="126"/>
      <c r="E139" s="126"/>
      <c r="F139" s="126"/>
      <c r="G139" s="126"/>
      <c r="H139" s="91"/>
      <c r="I139" s="91"/>
      <c r="J139" s="91"/>
      <c r="K139" s="91"/>
      <c r="L139" s="91"/>
      <c r="M139" s="91"/>
      <c r="N139" s="91"/>
      <c r="O139" s="91"/>
      <c r="P139" s="91"/>
      <c r="Q139" s="91"/>
      <c r="R139" s="91"/>
      <c r="S139" s="91"/>
      <c r="T139" s="91"/>
      <c r="U139" s="91"/>
      <c r="V139" s="91"/>
      <c r="W139" s="91"/>
      <c r="X139" s="91"/>
      <c r="Y139" s="91"/>
      <c r="Z139" s="91"/>
      <c r="AA139" s="91"/>
      <c r="AB139" s="91"/>
    </row>
    <row r="140" ht="15.75" customHeight="1">
      <c r="A140" s="127"/>
      <c r="B140" s="127"/>
      <c r="C140" s="126"/>
      <c r="D140" s="137"/>
      <c r="E140" s="137"/>
      <c r="F140" s="137"/>
      <c r="G140" s="126"/>
      <c r="H140" s="91"/>
      <c r="I140" s="91"/>
      <c r="J140" s="91"/>
      <c r="K140" s="91"/>
      <c r="L140" s="91"/>
      <c r="M140" s="91"/>
      <c r="N140" s="91"/>
      <c r="O140" s="91"/>
      <c r="P140" s="91"/>
      <c r="Q140" s="91"/>
      <c r="R140" s="91"/>
      <c r="S140" s="91"/>
      <c r="T140" s="91"/>
      <c r="U140" s="91"/>
      <c r="V140" s="91"/>
      <c r="W140" s="91"/>
      <c r="X140" s="91"/>
      <c r="Y140" s="91"/>
      <c r="Z140" s="91"/>
      <c r="AA140" s="91"/>
      <c r="AB140" s="91"/>
    </row>
    <row r="141" ht="15.75" customHeight="1">
      <c r="A141" s="127"/>
      <c r="B141" s="127"/>
      <c r="C141" s="126"/>
      <c r="D141" s="126"/>
      <c r="E141" s="126"/>
      <c r="F141" s="126"/>
      <c r="G141" s="126"/>
      <c r="H141" s="91"/>
      <c r="I141" s="91"/>
      <c r="J141" s="91"/>
      <c r="K141" s="91"/>
      <c r="L141" s="91"/>
      <c r="M141" s="91"/>
      <c r="N141" s="91"/>
      <c r="O141" s="91"/>
      <c r="P141" s="91"/>
      <c r="Q141" s="91"/>
      <c r="R141" s="91"/>
      <c r="S141" s="91"/>
      <c r="T141" s="91"/>
      <c r="U141" s="91"/>
      <c r="V141" s="91"/>
      <c r="W141" s="91"/>
      <c r="X141" s="91"/>
      <c r="Y141" s="91"/>
      <c r="Z141" s="91"/>
      <c r="AA141" s="91"/>
      <c r="AB141" s="91"/>
    </row>
    <row r="142" ht="15.75" customHeight="1">
      <c r="A142" s="127"/>
      <c r="B142" s="127"/>
      <c r="C142" s="126"/>
      <c r="D142" s="126"/>
      <c r="E142" s="126"/>
      <c r="F142" s="126"/>
      <c r="G142" s="126"/>
      <c r="H142" s="91"/>
      <c r="I142" s="91"/>
      <c r="J142" s="91"/>
      <c r="K142" s="91"/>
      <c r="L142" s="91"/>
      <c r="M142" s="91"/>
      <c r="N142" s="91"/>
      <c r="O142" s="91"/>
      <c r="P142" s="91"/>
      <c r="Q142" s="91"/>
      <c r="R142" s="91"/>
      <c r="S142" s="91"/>
      <c r="T142" s="91"/>
      <c r="U142" s="91"/>
      <c r="V142" s="91"/>
      <c r="W142" s="91"/>
      <c r="X142" s="91"/>
      <c r="Y142" s="91"/>
      <c r="Z142" s="91"/>
      <c r="AA142" s="91"/>
      <c r="AB142" s="91"/>
    </row>
    <row r="143" ht="15.75" customHeight="1">
      <c r="A143" s="127"/>
      <c r="B143" s="127"/>
      <c r="C143" s="126"/>
      <c r="D143" s="126"/>
      <c r="E143" s="126"/>
      <c r="F143" s="126"/>
      <c r="G143" s="126"/>
      <c r="H143" s="91"/>
      <c r="I143" s="91"/>
      <c r="J143" s="91"/>
      <c r="K143" s="91"/>
      <c r="L143" s="91"/>
      <c r="M143" s="91"/>
      <c r="N143" s="91"/>
      <c r="O143" s="91"/>
      <c r="P143" s="91"/>
      <c r="Q143" s="91"/>
      <c r="R143" s="91"/>
      <c r="S143" s="91"/>
      <c r="T143" s="91"/>
      <c r="U143" s="91"/>
      <c r="V143" s="91"/>
      <c r="W143" s="91"/>
      <c r="X143" s="91"/>
      <c r="Y143" s="91"/>
      <c r="Z143" s="91"/>
      <c r="AA143" s="91"/>
      <c r="AB143" s="91"/>
    </row>
    <row r="144" ht="15.75" customHeight="1">
      <c r="A144" s="127"/>
      <c r="B144" s="127"/>
      <c r="C144" s="126"/>
      <c r="D144" s="126"/>
      <c r="E144" s="126"/>
      <c r="F144" s="126"/>
      <c r="G144" s="126"/>
      <c r="H144" s="91"/>
      <c r="I144" s="91"/>
      <c r="J144" s="91"/>
      <c r="K144" s="91"/>
      <c r="L144" s="91"/>
      <c r="M144" s="91"/>
      <c r="N144" s="91"/>
      <c r="O144" s="91"/>
      <c r="P144" s="91"/>
      <c r="Q144" s="91"/>
      <c r="R144" s="91"/>
      <c r="S144" s="91"/>
      <c r="T144" s="91"/>
      <c r="U144" s="91"/>
      <c r="V144" s="91"/>
      <c r="W144" s="91"/>
      <c r="X144" s="91"/>
      <c r="Y144" s="91"/>
      <c r="Z144" s="91"/>
      <c r="AA144" s="91"/>
      <c r="AB144" s="91"/>
    </row>
    <row r="145" ht="15.75" customHeight="1">
      <c r="A145" s="138"/>
      <c r="B145" s="138"/>
      <c r="C145" s="126"/>
      <c r="D145" s="137"/>
      <c r="E145" s="137"/>
      <c r="F145" s="137"/>
      <c r="G145" s="126"/>
      <c r="H145" s="91"/>
      <c r="I145" s="91"/>
      <c r="J145" s="91"/>
      <c r="K145" s="91"/>
      <c r="L145" s="91"/>
      <c r="M145" s="91"/>
      <c r="N145" s="91"/>
      <c r="O145" s="91"/>
      <c r="P145" s="91"/>
      <c r="Q145" s="91"/>
      <c r="R145" s="91"/>
      <c r="S145" s="91"/>
      <c r="T145" s="91"/>
      <c r="U145" s="91"/>
      <c r="V145" s="91"/>
      <c r="W145" s="91"/>
      <c r="X145" s="91"/>
      <c r="Y145" s="91"/>
      <c r="Z145" s="91"/>
      <c r="AA145" s="91"/>
      <c r="AB145" s="91"/>
    </row>
    <row r="146" ht="15.75" customHeight="1">
      <c r="A146" s="138"/>
      <c r="B146" s="138"/>
      <c r="C146" s="126"/>
      <c r="D146" s="137"/>
      <c r="E146" s="137"/>
      <c r="F146" s="126"/>
      <c r="G146" s="126"/>
      <c r="H146" s="91"/>
      <c r="I146" s="91"/>
      <c r="J146" s="91"/>
      <c r="K146" s="91"/>
      <c r="L146" s="91"/>
      <c r="M146" s="91"/>
      <c r="N146" s="91"/>
      <c r="O146" s="91"/>
      <c r="P146" s="91"/>
      <c r="Q146" s="91"/>
      <c r="R146" s="91"/>
      <c r="S146" s="91"/>
      <c r="T146" s="91"/>
      <c r="U146" s="91"/>
      <c r="V146" s="91"/>
      <c r="W146" s="91"/>
      <c r="X146" s="91"/>
      <c r="Y146" s="91"/>
      <c r="Z146" s="91"/>
      <c r="AA146" s="91"/>
      <c r="AB146" s="91"/>
    </row>
    <row r="147" ht="15.75" customHeight="1">
      <c r="A147" s="138"/>
      <c r="B147" s="138"/>
      <c r="C147" s="126"/>
      <c r="D147" s="137"/>
      <c r="E147" s="137"/>
      <c r="F147" s="137"/>
      <c r="G147" s="126"/>
      <c r="H147" s="91"/>
      <c r="I147" s="91"/>
      <c r="J147" s="91"/>
      <c r="K147" s="91"/>
      <c r="L147" s="91"/>
      <c r="M147" s="91"/>
      <c r="N147" s="91"/>
      <c r="O147" s="91"/>
      <c r="P147" s="91"/>
      <c r="Q147" s="91"/>
      <c r="R147" s="91"/>
      <c r="S147" s="91"/>
      <c r="T147" s="91"/>
      <c r="U147" s="91"/>
      <c r="V147" s="91"/>
      <c r="W147" s="91"/>
      <c r="X147" s="91"/>
      <c r="Y147" s="91"/>
      <c r="Z147" s="91"/>
      <c r="AA147" s="91"/>
      <c r="AB147" s="91"/>
    </row>
    <row r="148" ht="15.75" customHeight="1">
      <c r="A148" s="138"/>
      <c r="B148" s="138"/>
      <c r="C148" s="126"/>
      <c r="D148" s="126"/>
      <c r="E148" s="126"/>
      <c r="F148" s="126"/>
      <c r="G148" s="126"/>
      <c r="H148" s="91"/>
      <c r="I148" s="91"/>
      <c r="J148" s="91"/>
      <c r="K148" s="91"/>
      <c r="L148" s="91"/>
      <c r="M148" s="91"/>
      <c r="N148" s="91"/>
      <c r="O148" s="91"/>
      <c r="P148" s="91"/>
      <c r="Q148" s="91"/>
      <c r="R148" s="91"/>
      <c r="S148" s="91"/>
      <c r="T148" s="91"/>
      <c r="U148" s="91"/>
      <c r="V148" s="91"/>
      <c r="W148" s="91"/>
      <c r="X148" s="91"/>
      <c r="Y148" s="91"/>
      <c r="Z148" s="91"/>
      <c r="AA148" s="91"/>
      <c r="AB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row>
    <row r="341" ht="15.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c r="AB341" s="91"/>
    </row>
    <row r="342" ht="15.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c r="AB342" s="91"/>
    </row>
    <row r="343" ht="15.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c r="AB343" s="91"/>
    </row>
    <row r="344" ht="15.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91"/>
    </row>
    <row r="345" ht="15.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c r="AB345" s="91"/>
    </row>
    <row r="346" ht="15.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c r="AB346" s="91"/>
    </row>
    <row r="347" ht="15.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c r="AB347" s="91"/>
    </row>
    <row r="348" ht="15.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c r="AB348" s="91"/>
    </row>
    <row r="349" ht="15.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c r="AB349" s="91"/>
    </row>
    <row r="350" ht="15.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c r="AB350" s="91"/>
    </row>
    <row r="351" ht="15.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c r="AB351" s="91"/>
    </row>
    <row r="352" ht="15.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c r="AB352" s="91"/>
    </row>
    <row r="353" ht="15.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91"/>
    </row>
    <row r="354" ht="15.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91"/>
    </row>
    <row r="355" ht="15.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c r="AB355" s="91"/>
    </row>
    <row r="356" ht="15.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c r="AB356" s="91"/>
    </row>
    <row r="357" ht="15.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c r="AB357" s="91"/>
    </row>
    <row r="358" ht="15.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c r="AB358" s="91"/>
    </row>
    <row r="359" ht="15.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c r="AB359" s="91"/>
    </row>
    <row r="360" ht="15.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c r="AB360" s="91"/>
    </row>
    <row r="361" ht="15.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c r="AB361" s="91"/>
    </row>
    <row r="362" ht="15.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91"/>
    </row>
    <row r="363" ht="15.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91"/>
    </row>
    <row r="364" ht="15.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c r="AB364" s="91"/>
    </row>
    <row r="365" ht="15.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c r="AB365" s="91"/>
    </row>
    <row r="366" ht="15.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c r="AB366" s="91"/>
    </row>
    <row r="367" ht="15.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c r="AB367" s="91"/>
    </row>
    <row r="368" ht="15.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c r="AB368" s="91"/>
    </row>
    <row r="369" ht="15.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c r="AB369" s="91"/>
    </row>
    <row r="370" ht="15.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c r="AB370" s="91"/>
    </row>
    <row r="371" ht="15.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c r="AB371" s="91"/>
    </row>
    <row r="372" ht="15.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c r="AB372" s="91"/>
    </row>
    <row r="373" ht="15.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c r="AB373" s="91"/>
    </row>
    <row r="374" ht="15.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91"/>
    </row>
    <row r="375" ht="15.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c r="AB375" s="91"/>
    </row>
    <row r="376" ht="15.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c r="AB376" s="91"/>
    </row>
    <row r="377" ht="15.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c r="AB377" s="91"/>
    </row>
    <row r="378" ht="15.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c r="AB378" s="91"/>
    </row>
    <row r="379" ht="15.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c r="AB379" s="91"/>
    </row>
    <row r="380" ht="15.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c r="AB380" s="91"/>
    </row>
    <row r="381" ht="15.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c r="AB381" s="91"/>
    </row>
    <row r="382" ht="15.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c r="AB382" s="91"/>
    </row>
    <row r="383" ht="15.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c r="AB383" s="91"/>
    </row>
    <row r="384" ht="15.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c r="AB384" s="91"/>
    </row>
    <row r="385" ht="15.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c r="AB385" s="91"/>
    </row>
    <row r="386" ht="15.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c r="AB386" s="91"/>
    </row>
    <row r="387" ht="15.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c r="AB387" s="91"/>
    </row>
    <row r="388" ht="15.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c r="AB388" s="91"/>
    </row>
    <row r="389" ht="15.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c r="AB389" s="91"/>
    </row>
    <row r="390" ht="15.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c r="AB390" s="91"/>
    </row>
    <row r="391" ht="15.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c r="AB391" s="91"/>
    </row>
    <row r="392" ht="15.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c r="AB392" s="91"/>
    </row>
    <row r="393" ht="15.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c r="AB393" s="91"/>
    </row>
    <row r="394" ht="15.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c r="AB394" s="91"/>
    </row>
    <row r="395" ht="15.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c r="AB395" s="91"/>
    </row>
    <row r="396" ht="15.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c r="AB396" s="91"/>
    </row>
    <row r="397" ht="15.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c r="AB397" s="91"/>
    </row>
    <row r="398" ht="15.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c r="AB398" s="91"/>
    </row>
    <row r="399" ht="15.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c r="AB399" s="91"/>
    </row>
    <row r="400" ht="15.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c r="AB400" s="91"/>
    </row>
    <row r="401" ht="15.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c r="AB401" s="91"/>
    </row>
    <row r="402" ht="15.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c r="AB402" s="91"/>
    </row>
    <row r="403" ht="15.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c r="AB403" s="91"/>
    </row>
    <row r="404" ht="15.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c r="AB404" s="91"/>
    </row>
    <row r="405" ht="15.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91"/>
    </row>
    <row r="406" ht="15.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91"/>
    </row>
    <row r="407" ht="15.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91"/>
    </row>
    <row r="408" ht="15.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91"/>
    </row>
    <row r="409" ht="15.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c r="AB409" s="91"/>
    </row>
    <row r="410" ht="15.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c r="AB410" s="91"/>
    </row>
    <row r="411" ht="15.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91"/>
    </row>
    <row r="412" ht="15.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c r="AB412" s="91"/>
    </row>
    <row r="413" ht="15.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c r="AB413" s="91"/>
    </row>
    <row r="414" ht="15.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c r="AB414" s="91"/>
    </row>
    <row r="415" ht="15.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c r="AB415" s="91"/>
    </row>
    <row r="416" ht="15.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c r="AB416" s="91"/>
    </row>
    <row r="417" ht="15.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c r="AB417" s="91"/>
    </row>
    <row r="418" ht="15.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c r="AB418" s="91"/>
    </row>
    <row r="419" ht="15.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c r="AB419" s="91"/>
    </row>
    <row r="420" ht="15.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c r="AB420" s="91"/>
    </row>
    <row r="421" ht="15.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c r="AB421" s="91"/>
    </row>
    <row r="422" ht="15.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c r="AB422" s="91"/>
    </row>
    <row r="423" ht="15.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c r="AB423" s="91"/>
    </row>
    <row r="424" ht="15.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c r="AB424" s="91"/>
    </row>
    <row r="425" ht="15.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c r="AB425" s="91"/>
    </row>
    <row r="426" ht="15.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c r="AB426" s="91"/>
    </row>
    <row r="427" ht="15.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c r="AB427" s="91"/>
    </row>
    <row r="428" ht="15.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c r="AB428" s="91"/>
    </row>
    <row r="429" ht="15.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c r="AB429" s="91"/>
    </row>
    <row r="430" ht="15.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c r="AB430" s="91"/>
    </row>
    <row r="431" ht="15.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c r="AB431" s="91"/>
    </row>
    <row r="432" ht="15.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c r="AB432" s="91"/>
    </row>
    <row r="433" ht="15.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c r="AB433" s="91"/>
    </row>
    <row r="434" ht="15.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c r="AB434" s="91"/>
    </row>
    <row r="435" ht="15.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c r="AB435" s="91"/>
    </row>
    <row r="436" ht="15.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c r="AB436" s="91"/>
    </row>
    <row r="437" ht="15.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c r="AB437" s="91"/>
    </row>
    <row r="438" ht="15.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c r="AB438" s="91"/>
    </row>
    <row r="439" ht="15.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c r="AB439" s="91"/>
    </row>
    <row r="440" ht="15.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c r="AB440" s="91"/>
    </row>
    <row r="441" ht="15.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c r="AB441" s="91"/>
    </row>
    <row r="442" ht="15.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c r="AB442" s="91"/>
    </row>
    <row r="443" ht="15.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c r="AB443" s="91"/>
    </row>
    <row r="444" ht="15.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c r="AB444" s="91"/>
    </row>
    <row r="445" ht="15.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c r="AB445" s="91"/>
    </row>
    <row r="446" ht="15.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c r="AB446" s="91"/>
    </row>
    <row r="447" ht="15.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c r="AB447" s="91"/>
    </row>
    <row r="448" ht="15.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c r="AB448" s="91"/>
    </row>
    <row r="449" ht="15.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c r="AB449" s="91"/>
    </row>
    <row r="450" ht="15.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1"/>
    </row>
    <row r="451" ht="15.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c r="AB451" s="91"/>
    </row>
    <row r="452" ht="15.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row>
    <row r="453" ht="15.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c r="AB453" s="91"/>
    </row>
    <row r="454" ht="15.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c r="AB454" s="91"/>
    </row>
    <row r="455" ht="15.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c r="AB455" s="91"/>
    </row>
    <row r="456" ht="15.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row>
    <row r="457" ht="15.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c r="AB457" s="91"/>
    </row>
    <row r="458" ht="15.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c r="AB458" s="91"/>
    </row>
    <row r="459" ht="15.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c r="AB459" s="91"/>
    </row>
    <row r="460" ht="15.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c r="AB460" s="91"/>
    </row>
    <row r="461" ht="15.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c r="AB461" s="91"/>
    </row>
    <row r="462" ht="15.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c r="AB462" s="91"/>
    </row>
    <row r="463" ht="15.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c r="AB463" s="91"/>
    </row>
    <row r="464" ht="15.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c r="AB464" s="91"/>
    </row>
    <row r="465" ht="15.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c r="AB465" s="91"/>
    </row>
    <row r="466" ht="15.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c r="AB466" s="91"/>
    </row>
    <row r="467" ht="15.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c r="AB467" s="91"/>
    </row>
    <row r="468" ht="15.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c r="AB468" s="91"/>
    </row>
    <row r="469" ht="15.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c r="AB469" s="91"/>
    </row>
    <row r="470" ht="15.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c r="AB470" s="91"/>
    </row>
    <row r="471" ht="15.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c r="AB471" s="91"/>
    </row>
    <row r="472" ht="15.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c r="AB472" s="91"/>
    </row>
    <row r="473" ht="15.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c r="AB473" s="91"/>
    </row>
    <row r="474" ht="15.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c r="AB474" s="91"/>
    </row>
    <row r="475" ht="15.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c r="AB475" s="91"/>
    </row>
    <row r="476" ht="15.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c r="AB476" s="91"/>
    </row>
    <row r="477" ht="15.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row>
    <row r="478" ht="15.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c r="AB478" s="91"/>
    </row>
    <row r="479" ht="15.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c r="AB479" s="91"/>
    </row>
    <row r="480" ht="15.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c r="AB480" s="91"/>
    </row>
    <row r="481" ht="15.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c r="AB481" s="91"/>
    </row>
    <row r="482" ht="15.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c r="AB482" s="91"/>
    </row>
    <row r="483" ht="15.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c r="AB483" s="91"/>
    </row>
    <row r="484" ht="15.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c r="AB484" s="91"/>
    </row>
    <row r="485" ht="15.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1"/>
    </row>
    <row r="486" ht="15.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c r="AB486" s="91"/>
    </row>
    <row r="487" ht="15.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c r="AB487" s="91"/>
    </row>
    <row r="488" ht="15.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c r="AB488" s="91"/>
    </row>
    <row r="489" ht="15.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c r="AB489" s="91"/>
    </row>
    <row r="490" ht="15.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c r="AB490" s="91"/>
    </row>
    <row r="491" ht="15.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c r="AB491" s="91"/>
    </row>
    <row r="492" ht="15.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c r="AB492" s="91"/>
    </row>
    <row r="493" ht="15.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c r="AB493" s="91"/>
    </row>
    <row r="494" ht="15.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c r="AB494" s="91"/>
    </row>
    <row r="495" ht="15.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c r="AB495" s="91"/>
    </row>
    <row r="496" ht="15.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c r="AB496" s="91"/>
    </row>
    <row r="497" ht="15.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c r="AB497" s="91"/>
    </row>
    <row r="498" ht="15.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c r="AB498" s="91"/>
    </row>
    <row r="499" ht="15.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c r="AB499" s="91"/>
    </row>
    <row r="500" ht="15.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c r="AB500" s="91"/>
    </row>
    <row r="501" ht="15.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c r="AB501" s="91"/>
    </row>
    <row r="502" ht="15.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c r="AB502" s="91"/>
    </row>
    <row r="503" ht="15.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c r="AB503" s="91"/>
    </row>
    <row r="504" ht="15.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row>
    <row r="505" ht="15.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c r="AB505" s="91"/>
    </row>
    <row r="506" ht="15.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c r="AB506" s="91"/>
    </row>
    <row r="507" ht="15.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c r="AB507" s="91"/>
    </row>
    <row r="508" ht="15.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c r="AB508" s="91"/>
    </row>
    <row r="509" ht="15.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c r="AB509" s="91"/>
    </row>
    <row r="510" ht="15.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c r="AB510" s="91"/>
    </row>
    <row r="511" ht="15.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c r="AB511" s="91"/>
    </row>
    <row r="512" ht="15.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c r="AB512" s="91"/>
    </row>
    <row r="513" ht="15.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c r="AB513" s="91"/>
    </row>
    <row r="514" ht="15.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c r="AB514" s="91"/>
    </row>
    <row r="515" ht="15.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c r="AB515" s="91"/>
    </row>
    <row r="516" ht="15.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c r="AB516" s="91"/>
    </row>
    <row r="517" ht="15.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c r="AB517" s="91"/>
    </row>
    <row r="518" ht="15.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c r="AB518" s="91"/>
    </row>
    <row r="519" ht="15.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c r="AB519" s="91"/>
    </row>
    <row r="520" ht="15.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c r="AB520" s="91"/>
    </row>
    <row r="521" ht="15.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c r="AB521" s="91"/>
    </row>
    <row r="522" ht="15.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c r="AB522" s="91"/>
    </row>
    <row r="523" ht="15.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c r="AB523" s="91"/>
    </row>
    <row r="524" ht="15.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c r="AB524" s="91"/>
    </row>
    <row r="525" ht="15.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c r="AB525" s="91"/>
    </row>
    <row r="526" ht="15.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c r="AB526" s="91"/>
    </row>
    <row r="527" ht="15.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c r="AB527" s="91"/>
    </row>
    <row r="528" ht="15.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c r="AB528" s="91"/>
    </row>
    <row r="529" ht="15.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c r="AB529" s="91"/>
    </row>
    <row r="530" ht="15.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91"/>
    </row>
    <row r="531" ht="15.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91"/>
    </row>
    <row r="532" ht="15.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91"/>
    </row>
    <row r="533" ht="15.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91"/>
    </row>
    <row r="534" ht="15.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91"/>
    </row>
    <row r="535" ht="15.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91"/>
    </row>
    <row r="536" ht="15.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91"/>
    </row>
    <row r="537" ht="15.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91"/>
    </row>
    <row r="538" ht="15.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91"/>
    </row>
    <row r="539" ht="15.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c r="AB539" s="91"/>
    </row>
    <row r="540" ht="15.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c r="AB540" s="91"/>
    </row>
    <row r="541" ht="15.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c r="AB541" s="91"/>
    </row>
    <row r="542" ht="15.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c r="AB542" s="91"/>
    </row>
    <row r="543" ht="15.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c r="AB543" s="91"/>
    </row>
    <row r="544" ht="15.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c r="AB544" s="91"/>
    </row>
    <row r="545" ht="15.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c r="AB545" s="91"/>
    </row>
    <row r="546" ht="15.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91"/>
    </row>
    <row r="547" ht="15.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91"/>
    </row>
    <row r="548" ht="15.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91"/>
    </row>
    <row r="549" ht="15.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91"/>
    </row>
    <row r="550" ht="15.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91"/>
    </row>
    <row r="551" ht="15.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91"/>
    </row>
    <row r="552" ht="15.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c r="AB552" s="91"/>
    </row>
    <row r="553" ht="15.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91"/>
    </row>
    <row r="554" ht="15.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91"/>
    </row>
    <row r="555" ht="15.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91"/>
    </row>
    <row r="556" ht="15.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91"/>
    </row>
    <row r="557" ht="15.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91"/>
    </row>
    <row r="558" ht="15.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91"/>
    </row>
    <row r="559" ht="15.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c r="AB559" s="91"/>
    </row>
    <row r="560" ht="15.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91"/>
    </row>
    <row r="561" ht="15.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91"/>
    </row>
    <row r="562" ht="15.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91"/>
    </row>
    <row r="563" ht="15.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91"/>
    </row>
    <row r="564" ht="15.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c r="AB564" s="91"/>
    </row>
    <row r="565" ht="15.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91"/>
    </row>
    <row r="566" ht="15.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91"/>
    </row>
    <row r="567" ht="15.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c r="AB567" s="91"/>
    </row>
    <row r="568" ht="15.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c r="AB568" s="91"/>
    </row>
    <row r="569" ht="15.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c r="AB569" s="91"/>
    </row>
    <row r="570" ht="15.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91"/>
    </row>
    <row r="571" ht="15.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91"/>
    </row>
    <row r="572" ht="15.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91"/>
    </row>
    <row r="573" ht="15.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91"/>
    </row>
    <row r="574" ht="15.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c r="AB574" s="91"/>
    </row>
    <row r="575" ht="15.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91"/>
    </row>
    <row r="576" ht="15.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c r="AB576" s="91"/>
    </row>
    <row r="577" ht="15.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c r="AB577" s="91"/>
    </row>
    <row r="578" ht="15.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row>
    <row r="579" ht="15.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c r="AB579" s="91"/>
    </row>
    <row r="580" ht="15.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c r="AB580" s="91"/>
    </row>
    <row r="581" ht="15.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c r="AB581" s="91"/>
    </row>
    <row r="582" ht="15.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c r="AB582" s="91"/>
    </row>
    <row r="583" ht="15.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c r="AB583" s="91"/>
    </row>
    <row r="584" ht="15.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c r="AB584" s="91"/>
    </row>
    <row r="585" ht="15.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c r="AB585" s="91"/>
    </row>
    <row r="586" ht="15.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c r="AB586" s="91"/>
    </row>
    <row r="587" ht="15.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row>
    <row r="588" ht="15.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row>
    <row r="589" ht="15.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91"/>
    </row>
    <row r="590" ht="15.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91"/>
    </row>
    <row r="591" ht="15.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91"/>
    </row>
    <row r="592" ht="15.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c r="AB592" s="91"/>
    </row>
    <row r="593" ht="15.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c r="AB593" s="91"/>
    </row>
    <row r="594" ht="15.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c r="AB594" s="91"/>
    </row>
    <row r="595" ht="15.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c r="AB595" s="91"/>
    </row>
    <row r="596" ht="15.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c r="AB596" s="91"/>
    </row>
    <row r="597" ht="15.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c r="AB597" s="91"/>
    </row>
    <row r="598" ht="15.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c r="AB598" s="91"/>
    </row>
    <row r="599" ht="15.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c r="AB599" s="91"/>
    </row>
    <row r="600" ht="15.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c r="AB600" s="91"/>
    </row>
    <row r="601" ht="15.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c r="AB601" s="91"/>
    </row>
    <row r="602" ht="15.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c r="AB602" s="91"/>
    </row>
    <row r="603" ht="15.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91"/>
    </row>
    <row r="604" ht="15.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91"/>
    </row>
    <row r="605" ht="15.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91"/>
    </row>
    <row r="606" ht="15.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91"/>
    </row>
    <row r="607" ht="15.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91"/>
    </row>
    <row r="608" ht="15.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91"/>
    </row>
    <row r="609" ht="15.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91"/>
    </row>
    <row r="610" ht="15.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row>
    <row r="611" ht="15.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c r="AB611" s="91"/>
    </row>
    <row r="612" ht="15.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91"/>
    </row>
    <row r="613" ht="15.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91"/>
    </row>
    <row r="614" ht="15.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91"/>
    </row>
    <row r="615" ht="15.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c r="AB615" s="91"/>
    </row>
    <row r="616" ht="15.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c r="AB616" s="91"/>
    </row>
    <row r="617" ht="15.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row>
    <row r="618" ht="15.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91"/>
    </row>
    <row r="619" ht="15.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91"/>
    </row>
    <row r="620" ht="15.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row>
    <row r="621" ht="15.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c r="AB621" s="91"/>
    </row>
    <row r="622" ht="15.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91"/>
    </row>
    <row r="623" ht="15.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1"/>
    </row>
    <row r="624" ht="15.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c r="AB624" s="91"/>
    </row>
    <row r="625" ht="15.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1"/>
    </row>
    <row r="626" ht="15.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91"/>
    </row>
    <row r="627" ht="15.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c r="AB627" s="91"/>
    </row>
    <row r="628" ht="15.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91"/>
    </row>
    <row r="629" ht="15.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91"/>
    </row>
    <row r="630" ht="15.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91"/>
    </row>
    <row r="631" ht="15.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91"/>
    </row>
    <row r="632" ht="15.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91"/>
    </row>
    <row r="633" ht="15.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91"/>
    </row>
    <row r="634" ht="15.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91"/>
    </row>
    <row r="635" ht="15.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91"/>
    </row>
    <row r="636" ht="15.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row>
    <row r="637" ht="15.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row>
    <row r="638" ht="15.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row>
    <row r="639" ht="15.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c r="AB639" s="91"/>
    </row>
    <row r="640" ht="15.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c r="AB640" s="91"/>
    </row>
    <row r="641" ht="15.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c r="AB641" s="91"/>
    </row>
    <row r="642" ht="15.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c r="AB642" s="91"/>
    </row>
    <row r="643" ht="15.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row>
    <row r="644" ht="15.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c r="AB644" s="91"/>
    </row>
    <row r="645" ht="15.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91"/>
    </row>
    <row r="646" ht="15.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c r="AB646" s="91"/>
    </row>
    <row r="647" ht="15.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c r="AB647" s="91"/>
    </row>
    <row r="648" ht="15.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91"/>
    </row>
    <row r="649" ht="15.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row>
    <row r="650" ht="15.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row>
    <row r="651" ht="15.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c r="AB651" s="91"/>
    </row>
    <row r="652" ht="15.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c r="AB652" s="91"/>
    </row>
    <row r="653" ht="15.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91"/>
    </row>
    <row r="654" ht="15.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91"/>
    </row>
    <row r="655" ht="15.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91"/>
    </row>
    <row r="656" ht="15.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row>
    <row r="657" ht="15.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row>
    <row r="658" ht="15.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91"/>
    </row>
    <row r="659" ht="15.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row>
    <row r="660" ht="15.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c r="AB660" s="91"/>
    </row>
    <row r="661" ht="15.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row>
    <row r="662" ht="15.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row>
    <row r="663" ht="15.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91"/>
    </row>
    <row r="664" ht="15.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c r="AB664" s="91"/>
    </row>
    <row r="665" ht="15.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c r="AB665" s="91"/>
    </row>
    <row r="666" ht="15.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c r="AB666" s="91"/>
    </row>
    <row r="667" ht="15.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c r="AB667" s="91"/>
    </row>
    <row r="668" ht="15.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c r="AB668" s="91"/>
    </row>
    <row r="669" ht="15.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91"/>
    </row>
    <row r="670" ht="15.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c r="AB670" s="91"/>
    </row>
    <row r="671" ht="15.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c r="AB671" s="91"/>
    </row>
    <row r="672" ht="15.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c r="AB672" s="91"/>
    </row>
    <row r="673" ht="15.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c r="AB673" s="91"/>
    </row>
    <row r="674" ht="15.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c r="AB674" s="91"/>
    </row>
    <row r="675" ht="15.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row>
    <row r="676" ht="15.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c r="AB676" s="91"/>
    </row>
    <row r="677" ht="15.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c r="AB677" s="91"/>
    </row>
    <row r="678" ht="15.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c r="AB678" s="91"/>
    </row>
    <row r="679" ht="15.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c r="AB679" s="91"/>
    </row>
    <row r="680" ht="15.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c r="AB680" s="91"/>
    </row>
    <row r="681" ht="15.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c r="AB681" s="91"/>
    </row>
    <row r="682" ht="15.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c r="AB682" s="91"/>
    </row>
    <row r="683" ht="15.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c r="AB683" s="91"/>
    </row>
    <row r="684" ht="15.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c r="AB684" s="91"/>
    </row>
    <row r="685" ht="15.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c r="AB685" s="91"/>
    </row>
    <row r="686" ht="15.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91"/>
    </row>
    <row r="687" ht="15.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c r="AB687" s="91"/>
    </row>
    <row r="688" ht="15.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row>
    <row r="689" ht="15.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c r="AB689" s="91"/>
    </row>
    <row r="690" ht="15.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c r="AB690" s="91"/>
    </row>
    <row r="691" ht="15.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c r="AB691" s="91"/>
    </row>
    <row r="692" ht="15.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c r="AB692" s="91"/>
    </row>
    <row r="693" ht="15.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c r="AB693" s="91"/>
    </row>
    <row r="694" ht="15.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row>
    <row r="695" ht="15.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row>
    <row r="696" ht="15.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c r="AB696" s="91"/>
    </row>
    <row r="697" ht="15.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c r="AB697" s="91"/>
    </row>
    <row r="698" ht="15.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row>
    <row r="699" ht="15.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row>
    <row r="700" ht="15.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c r="AB700" s="91"/>
    </row>
    <row r="701" ht="15.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c r="AB701" s="91"/>
    </row>
    <row r="702" ht="15.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c r="AB702" s="91"/>
    </row>
    <row r="703" ht="15.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c r="AB703" s="91"/>
    </row>
    <row r="704" ht="15.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row>
    <row r="705" ht="15.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c r="AB705" s="91"/>
    </row>
    <row r="706" ht="15.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c r="AB706" s="91"/>
    </row>
    <row r="707" ht="15.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c r="AB707" s="91"/>
    </row>
    <row r="708" ht="15.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row>
    <row r="709" ht="15.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c r="AB709" s="91"/>
    </row>
    <row r="710" ht="15.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c r="AB710" s="91"/>
    </row>
    <row r="711" ht="15.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c r="AB711" s="91"/>
    </row>
    <row r="712" ht="15.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c r="AB712" s="91"/>
    </row>
    <row r="713" ht="15.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c r="AB713" s="91"/>
    </row>
    <row r="714" ht="15.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91"/>
    </row>
    <row r="715" ht="15.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c r="AB715" s="91"/>
    </row>
    <row r="716" ht="15.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c r="AB716" s="91"/>
    </row>
    <row r="717" ht="15.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c r="AB717" s="91"/>
    </row>
    <row r="718" ht="15.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row>
    <row r="719" ht="15.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c r="AB719" s="91"/>
    </row>
    <row r="720" ht="15.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c r="AB720" s="91"/>
    </row>
    <row r="721" ht="15.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c r="AB721" s="91"/>
    </row>
    <row r="722" ht="15.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91"/>
    </row>
    <row r="723" ht="15.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c r="AB723" s="91"/>
    </row>
    <row r="724" ht="15.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c r="AB724" s="91"/>
    </row>
    <row r="725" ht="15.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c r="AB725" s="91"/>
    </row>
    <row r="726" ht="15.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c r="AB726" s="91"/>
    </row>
    <row r="727" ht="15.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c r="AB727" s="91"/>
    </row>
    <row r="728" ht="15.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c r="AB728" s="91"/>
    </row>
    <row r="729" ht="15.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c r="AB729" s="91"/>
    </row>
    <row r="730" ht="15.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c r="AB730" s="91"/>
    </row>
    <row r="731" ht="15.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c r="AB731" s="91"/>
    </row>
    <row r="732" ht="15.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c r="AB732" s="91"/>
    </row>
    <row r="733" ht="15.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c r="AB733" s="91"/>
    </row>
    <row r="734" ht="15.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91"/>
    </row>
    <row r="735" ht="15.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91"/>
    </row>
    <row r="736" ht="15.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c r="AB736" s="91"/>
    </row>
    <row r="737" ht="15.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c r="AB737" s="91"/>
    </row>
    <row r="738" ht="15.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row>
    <row r="739" ht="15.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c r="AB739" s="91"/>
    </row>
    <row r="740" ht="15.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c r="AB740" s="91"/>
    </row>
    <row r="741" ht="15.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c r="AB741" s="91"/>
    </row>
    <row r="742" ht="15.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c r="AB742" s="91"/>
    </row>
    <row r="743" ht="15.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c r="AB743" s="91"/>
    </row>
    <row r="744" ht="15.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c r="AB744" s="91"/>
    </row>
    <row r="745" ht="15.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c r="AB745" s="91"/>
    </row>
    <row r="746" ht="15.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row>
    <row r="747" ht="15.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c r="AB747" s="91"/>
    </row>
    <row r="748" ht="15.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row>
    <row r="749" ht="15.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c r="AB749" s="91"/>
    </row>
    <row r="750" ht="15.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c r="AB750" s="91"/>
    </row>
    <row r="751" ht="15.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c r="AB751" s="91"/>
    </row>
    <row r="752" ht="15.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91"/>
    </row>
    <row r="753" ht="15.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91"/>
    </row>
    <row r="754" ht="15.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c r="AB754" s="91"/>
    </row>
    <row r="755" ht="15.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c r="AB755" s="91"/>
    </row>
    <row r="756" ht="15.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91"/>
    </row>
    <row r="757" ht="15.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row>
    <row r="758" ht="15.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row>
    <row r="759" ht="15.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c r="AB759" s="91"/>
    </row>
    <row r="760" ht="15.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row>
    <row r="761" ht="15.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row>
    <row r="762" ht="15.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c r="AB762" s="91"/>
    </row>
    <row r="763" ht="15.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c r="AB763" s="91"/>
    </row>
    <row r="764" ht="15.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c r="AB764" s="91"/>
    </row>
    <row r="765" ht="15.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c r="AB765" s="91"/>
    </row>
    <row r="766" ht="15.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c r="AB766" s="91"/>
    </row>
    <row r="767" ht="15.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row>
    <row r="768" ht="15.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row>
    <row r="769" ht="15.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row>
    <row r="770" ht="15.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91"/>
    </row>
    <row r="771" ht="15.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c r="AB771" s="91"/>
    </row>
    <row r="772" ht="15.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row>
    <row r="773" ht="15.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row>
    <row r="774" ht="15.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91"/>
    </row>
    <row r="775" ht="15.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c r="AB775" s="91"/>
    </row>
    <row r="776" ht="15.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c r="AB776" s="91"/>
    </row>
    <row r="777" ht="15.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c r="AB777" s="91"/>
    </row>
    <row r="778" ht="15.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c r="AB778" s="91"/>
    </row>
    <row r="779" ht="15.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c r="AB779" s="91"/>
    </row>
    <row r="780" ht="15.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c r="AB780" s="91"/>
    </row>
    <row r="781" ht="15.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c r="AB781" s="91"/>
    </row>
    <row r="782" ht="15.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c r="AB782" s="91"/>
    </row>
    <row r="783" ht="15.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c r="AB783" s="91"/>
    </row>
    <row r="784" ht="15.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c r="AB784" s="91"/>
    </row>
    <row r="785" ht="15.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c r="AB785" s="91"/>
    </row>
    <row r="786" ht="15.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c r="AB786" s="91"/>
    </row>
    <row r="787" ht="15.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c r="AB787" s="91"/>
    </row>
    <row r="788" ht="15.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row>
    <row r="789" ht="15.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c r="AB789" s="91"/>
    </row>
    <row r="790" ht="15.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c r="AB790" s="91"/>
    </row>
    <row r="791" ht="15.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c r="AB791" s="91"/>
    </row>
    <row r="792" ht="15.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c r="AB792" s="91"/>
    </row>
    <row r="793" ht="15.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c r="AB793" s="91"/>
    </row>
    <row r="794" ht="15.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c r="AB794" s="91"/>
    </row>
    <row r="795" ht="15.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c r="AB795" s="91"/>
    </row>
    <row r="796" ht="15.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c r="AB796" s="91"/>
    </row>
    <row r="797" ht="15.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c r="AB797" s="91"/>
    </row>
    <row r="798" ht="15.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c r="AB798" s="91"/>
    </row>
    <row r="799" ht="15.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c r="AB799" s="91"/>
    </row>
    <row r="800" ht="15.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c r="AB800" s="91"/>
    </row>
    <row r="801" ht="15.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c r="AB801" s="91"/>
    </row>
    <row r="802" ht="15.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c r="AB802" s="91"/>
    </row>
    <row r="803" ht="15.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c r="AB803" s="91"/>
    </row>
    <row r="804" ht="15.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c r="AB804" s="91"/>
    </row>
    <row r="805" ht="15.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c r="AB805" s="91"/>
    </row>
    <row r="806" ht="15.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c r="AB806" s="91"/>
    </row>
    <row r="807" ht="15.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c r="AB807" s="91"/>
    </row>
    <row r="808" ht="15.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c r="AB808" s="91"/>
    </row>
    <row r="809" ht="15.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c r="AB809" s="91"/>
    </row>
    <row r="810" ht="15.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c r="AB810" s="91"/>
    </row>
    <row r="811" ht="15.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c r="AB811" s="91"/>
    </row>
    <row r="812" ht="15.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c r="AB812" s="91"/>
    </row>
    <row r="813" ht="15.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c r="AB813" s="91"/>
    </row>
    <row r="814" ht="15.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c r="AB814" s="91"/>
    </row>
    <row r="815" ht="15.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c r="AB815" s="91"/>
    </row>
    <row r="816" ht="15.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c r="AB816" s="91"/>
    </row>
    <row r="817" ht="15.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c r="AB817" s="91"/>
    </row>
    <row r="818" ht="15.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c r="AB818" s="91"/>
    </row>
    <row r="819" ht="15.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c r="AB819" s="91"/>
    </row>
    <row r="820" ht="15.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c r="AB820" s="91"/>
    </row>
    <row r="821" ht="15.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c r="AB821" s="91"/>
    </row>
    <row r="822" ht="15.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c r="AB822" s="91"/>
    </row>
    <row r="823" ht="15.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c r="AB823" s="91"/>
    </row>
    <row r="824" ht="15.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c r="AB824" s="91"/>
    </row>
    <row r="825" ht="15.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c r="AB825" s="91"/>
    </row>
    <row r="826" ht="15.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c r="AB826" s="91"/>
    </row>
    <row r="827" ht="15.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c r="AB827" s="91"/>
    </row>
    <row r="828" ht="15.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c r="AB828" s="91"/>
    </row>
    <row r="829" ht="15.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c r="AB829" s="91"/>
    </row>
    <row r="830" ht="15.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row>
    <row r="831" ht="15.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c r="AB831" s="91"/>
    </row>
    <row r="832" ht="15.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c r="AB832" s="91"/>
    </row>
    <row r="833" ht="15.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c r="AB833" s="91"/>
    </row>
    <row r="834" ht="15.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c r="AB834" s="91"/>
    </row>
    <row r="835" ht="15.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c r="AB835" s="91"/>
    </row>
    <row r="836" ht="15.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c r="AB836" s="91"/>
    </row>
    <row r="837" ht="15.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c r="AA837" s="91"/>
      <c r="AB837" s="91"/>
    </row>
    <row r="838" ht="15.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c r="AA838" s="91"/>
      <c r="AB838" s="91"/>
    </row>
    <row r="839" ht="15.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c r="AA839" s="91"/>
      <c r="AB839" s="91"/>
    </row>
    <row r="840" ht="15.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c r="AA840" s="91"/>
      <c r="AB840" s="91"/>
    </row>
    <row r="841" ht="15.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c r="AA841" s="91"/>
      <c r="AB841" s="91"/>
    </row>
    <row r="842" ht="15.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c r="AA842" s="91"/>
      <c r="AB842" s="91"/>
    </row>
    <row r="843" ht="15.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c r="AA843" s="91"/>
      <c r="AB843" s="91"/>
    </row>
    <row r="844" ht="15.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c r="AA844" s="91"/>
      <c r="AB844" s="91"/>
    </row>
    <row r="845" ht="15.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c r="AA845" s="91"/>
      <c r="AB845" s="91"/>
    </row>
    <row r="846" ht="15.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c r="AA846" s="91"/>
      <c r="AB846" s="91"/>
    </row>
    <row r="847" ht="15.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c r="AA847" s="91"/>
      <c r="AB847" s="91"/>
    </row>
    <row r="848" ht="15.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c r="AA848" s="91"/>
      <c r="AB848" s="91"/>
    </row>
    <row r="849" ht="15.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c r="AA849" s="91"/>
      <c r="AB849" s="91"/>
    </row>
    <row r="850" ht="15.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c r="AA850" s="91"/>
      <c r="AB850" s="91"/>
    </row>
    <row r="851" ht="15.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c r="AA851" s="91"/>
      <c r="AB851" s="91"/>
    </row>
    <row r="852" ht="15.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c r="AA852" s="91"/>
      <c r="AB852" s="91"/>
    </row>
    <row r="853" ht="15.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c r="AA853" s="91"/>
      <c r="AB853" s="91"/>
    </row>
    <row r="854" ht="15.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c r="AA854" s="91"/>
      <c r="AB854" s="91"/>
    </row>
    <row r="855" ht="15.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c r="AA855" s="91"/>
      <c r="AB855" s="91"/>
    </row>
    <row r="856" ht="15.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c r="AA856" s="91"/>
      <c r="AB856" s="91"/>
    </row>
    <row r="857" ht="15.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c r="AA857" s="91"/>
      <c r="AB857" s="91"/>
    </row>
    <row r="858" ht="15.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c r="AA858" s="91"/>
      <c r="AB858" s="91"/>
    </row>
    <row r="859" ht="15.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c r="AA859" s="91"/>
      <c r="AB859" s="91"/>
    </row>
    <row r="860" ht="15.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c r="AA860" s="91"/>
      <c r="AB860" s="91"/>
    </row>
    <row r="861" ht="15.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c r="AA861" s="91"/>
      <c r="AB861" s="91"/>
    </row>
    <row r="862" ht="15.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c r="AA862" s="91"/>
      <c r="AB862" s="91"/>
    </row>
    <row r="863" ht="15.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c r="AA863" s="91"/>
      <c r="AB863" s="91"/>
    </row>
    <row r="864" ht="15.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c r="AA864" s="91"/>
      <c r="AB864" s="91"/>
    </row>
    <row r="865" ht="15.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c r="AA865" s="91"/>
      <c r="AB865" s="91"/>
    </row>
    <row r="866" ht="15.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c r="AA866" s="91"/>
      <c r="AB866" s="91"/>
    </row>
    <row r="867" ht="15.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c r="AA867" s="91"/>
      <c r="AB867" s="91"/>
    </row>
    <row r="868" ht="15.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c r="AA868" s="91"/>
      <c r="AB868" s="91"/>
    </row>
    <row r="869" ht="15.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c r="AA869" s="91"/>
      <c r="AB869" s="91"/>
    </row>
    <row r="870" ht="15.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c r="AA870" s="91"/>
      <c r="AB870" s="91"/>
    </row>
    <row r="871" ht="15.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c r="AA871" s="91"/>
      <c r="AB871" s="91"/>
    </row>
    <row r="872" ht="15.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c r="AB872" s="91"/>
    </row>
    <row r="873" ht="15.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c r="AA873" s="91"/>
      <c r="AB873" s="91"/>
    </row>
    <row r="874" ht="15.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c r="AA874" s="91"/>
      <c r="AB874" s="91"/>
    </row>
    <row r="875" ht="15.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c r="AA875" s="91"/>
      <c r="AB875" s="91"/>
    </row>
    <row r="876" ht="15.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c r="AA876" s="91"/>
      <c r="AB876" s="91"/>
    </row>
    <row r="877" ht="15.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c r="AA877" s="91"/>
      <c r="AB877" s="91"/>
    </row>
    <row r="878" ht="15.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c r="AA878" s="91"/>
      <c r="AB878" s="91"/>
    </row>
    <row r="879" ht="15.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c r="AA879" s="91"/>
      <c r="AB879" s="91"/>
    </row>
    <row r="880" ht="15.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c r="AA880" s="91"/>
      <c r="AB880" s="91"/>
    </row>
    <row r="881" ht="15.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c r="AA881" s="91"/>
      <c r="AB881" s="91"/>
    </row>
    <row r="882" ht="15.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c r="AA882" s="91"/>
      <c r="AB882" s="91"/>
    </row>
    <row r="883" ht="15.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c r="AA883" s="91"/>
      <c r="AB883" s="91"/>
    </row>
    <row r="884" ht="15.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c r="AA884" s="91"/>
      <c r="AB884" s="91"/>
    </row>
    <row r="885" ht="15.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c r="AA885" s="91"/>
      <c r="AB885" s="91"/>
    </row>
    <row r="886" ht="15.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c r="AA886" s="91"/>
      <c r="AB886" s="91"/>
    </row>
    <row r="887" ht="15.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c r="AA887" s="91"/>
      <c r="AB887" s="91"/>
    </row>
    <row r="888" ht="15.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c r="AA888" s="91"/>
      <c r="AB888" s="91"/>
    </row>
    <row r="889" ht="15.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c r="AA889" s="91"/>
      <c r="AB889" s="91"/>
    </row>
    <row r="890" ht="15.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c r="AA890" s="91"/>
      <c r="AB890" s="91"/>
    </row>
    <row r="891" ht="15.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c r="AA891" s="91"/>
      <c r="AB891" s="91"/>
    </row>
    <row r="892" ht="15.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c r="AA892" s="91"/>
      <c r="AB892" s="91"/>
    </row>
    <row r="893" ht="15.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c r="AA893" s="91"/>
      <c r="AB893" s="91"/>
    </row>
    <row r="894" ht="15.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c r="AA894" s="91"/>
      <c r="AB894" s="91"/>
    </row>
    <row r="895" ht="15.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c r="AA895" s="91"/>
      <c r="AB895" s="91"/>
    </row>
    <row r="896" ht="15.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c r="AA896" s="91"/>
      <c r="AB896" s="91"/>
    </row>
    <row r="897" ht="15.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c r="AA897" s="91"/>
      <c r="AB897" s="91"/>
    </row>
    <row r="898" ht="15.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c r="AA898" s="91"/>
      <c r="AB898" s="91"/>
    </row>
    <row r="899" ht="15.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c r="AA899" s="91"/>
      <c r="AB899" s="91"/>
    </row>
    <row r="900" ht="15.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c r="AA900" s="91"/>
      <c r="AB900" s="91"/>
    </row>
    <row r="901" ht="15.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c r="AA901" s="91"/>
      <c r="AB901" s="91"/>
    </row>
    <row r="902" ht="15.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c r="AA902" s="91"/>
      <c r="AB902" s="91"/>
    </row>
    <row r="903" ht="15.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c r="AA903" s="91"/>
      <c r="AB903" s="91"/>
    </row>
    <row r="904" ht="15.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c r="AA904" s="91"/>
      <c r="AB904" s="91"/>
    </row>
    <row r="905" ht="15.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c r="AA905" s="91"/>
      <c r="AB905" s="91"/>
    </row>
    <row r="906" ht="15.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c r="AA906" s="91"/>
      <c r="AB906" s="91"/>
    </row>
    <row r="907" ht="15.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c r="AA907" s="91"/>
      <c r="AB907" s="91"/>
    </row>
    <row r="908" ht="15.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c r="AA908" s="91"/>
      <c r="AB908" s="91"/>
    </row>
    <row r="909" ht="15.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c r="AA909" s="91"/>
      <c r="AB909" s="91"/>
    </row>
    <row r="910" ht="15.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c r="AA910" s="91"/>
      <c r="AB910" s="91"/>
    </row>
    <row r="911" ht="15.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c r="AA911" s="91"/>
      <c r="AB911" s="91"/>
    </row>
    <row r="912" ht="15.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c r="AA912" s="91"/>
      <c r="AB912" s="91"/>
    </row>
    <row r="913" ht="15.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c r="AA913" s="91"/>
      <c r="AB913" s="91"/>
    </row>
    <row r="914" ht="15.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c r="AB914" s="91"/>
    </row>
    <row r="915" ht="15.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c r="AA915" s="91"/>
      <c r="AB915" s="91"/>
    </row>
    <row r="916" ht="15.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c r="AA916" s="91"/>
      <c r="AB916" s="91"/>
    </row>
    <row r="917" ht="15.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c r="AA917" s="91"/>
      <c r="AB917" s="91"/>
    </row>
    <row r="918" ht="15.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c r="AA918" s="91"/>
      <c r="AB918" s="91"/>
    </row>
    <row r="919" ht="15.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c r="AA919" s="91"/>
      <c r="AB919" s="91"/>
    </row>
    <row r="920" ht="15.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c r="AA920" s="91"/>
      <c r="AB920" s="91"/>
    </row>
    <row r="921" ht="15.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c r="AA921" s="91"/>
      <c r="AB921" s="91"/>
    </row>
    <row r="922" ht="15.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c r="AA922" s="91"/>
      <c r="AB922" s="91"/>
    </row>
    <row r="923" ht="15.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c r="AA923" s="91"/>
      <c r="AB923" s="91"/>
    </row>
    <row r="924" ht="15.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c r="AA924" s="91"/>
      <c r="AB924" s="91"/>
    </row>
    <row r="925" ht="15.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c r="AA925" s="91"/>
      <c r="AB925" s="91"/>
    </row>
    <row r="926" ht="15.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c r="AA926" s="91"/>
      <c r="AB926" s="91"/>
    </row>
    <row r="927" ht="15.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c r="AA927" s="91"/>
      <c r="AB927" s="91"/>
    </row>
    <row r="928" ht="15.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c r="AA928" s="91"/>
      <c r="AB928" s="91"/>
    </row>
    <row r="929" ht="15.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c r="AA929" s="91"/>
      <c r="AB929" s="91"/>
    </row>
    <row r="930" ht="15.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c r="AA930" s="91"/>
      <c r="AB930" s="91"/>
    </row>
    <row r="931" ht="15.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c r="AA931" s="91"/>
      <c r="AB931" s="91"/>
    </row>
    <row r="932" ht="15.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c r="AA932" s="91"/>
      <c r="AB932" s="91"/>
    </row>
    <row r="933" ht="15.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c r="AA933" s="91"/>
      <c r="AB933" s="91"/>
    </row>
    <row r="934" ht="15.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c r="AA934" s="91"/>
      <c r="AB934" s="91"/>
    </row>
    <row r="935" ht="15.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c r="AA935" s="91"/>
      <c r="AB935" s="91"/>
    </row>
    <row r="936" ht="15.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c r="AA936" s="91"/>
      <c r="AB936" s="91"/>
    </row>
    <row r="937" ht="15.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c r="AA937" s="91"/>
      <c r="AB937" s="91"/>
    </row>
    <row r="938" ht="15.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c r="AA938" s="91"/>
      <c r="AB938" s="91"/>
    </row>
    <row r="939" ht="15.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c r="AA939" s="91"/>
      <c r="AB939" s="91"/>
    </row>
    <row r="940" ht="15.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c r="AA940" s="91"/>
      <c r="AB940" s="91"/>
    </row>
    <row r="941" ht="15.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c r="AA941" s="91"/>
      <c r="AB941" s="91"/>
    </row>
    <row r="942" ht="15.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c r="AA942" s="91"/>
      <c r="AB942" s="91"/>
    </row>
    <row r="943" ht="15.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c r="AA943" s="91"/>
      <c r="AB943" s="91"/>
    </row>
    <row r="944" ht="15.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c r="AA944" s="91"/>
      <c r="AB944" s="91"/>
    </row>
    <row r="945" ht="15.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c r="AA945" s="91"/>
      <c r="AB945" s="91"/>
    </row>
    <row r="946" ht="15.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c r="AA946" s="91"/>
      <c r="AB946" s="91"/>
    </row>
    <row r="947" ht="15.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c r="AA947" s="91"/>
      <c r="AB947" s="91"/>
    </row>
    <row r="948" ht="15.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c r="AA948" s="91"/>
      <c r="AB948" s="91"/>
    </row>
    <row r="949" ht="15.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c r="AA949" s="91"/>
      <c r="AB949" s="91"/>
    </row>
    <row r="950" ht="15.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c r="AA950" s="91"/>
      <c r="AB950" s="91"/>
    </row>
    <row r="951" ht="15.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c r="AA951" s="91"/>
      <c r="AB951" s="91"/>
    </row>
    <row r="952" ht="15.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c r="AA952" s="91"/>
      <c r="AB952" s="91"/>
    </row>
    <row r="953" ht="15.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c r="AA953" s="91"/>
      <c r="AB953" s="91"/>
    </row>
    <row r="954" ht="15.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c r="AA954" s="91"/>
      <c r="AB954" s="91"/>
    </row>
    <row r="955" ht="15.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c r="AA955" s="91"/>
      <c r="AB955" s="91"/>
    </row>
    <row r="956" ht="15.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c r="AB956" s="91"/>
    </row>
    <row r="957" ht="15.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c r="AA957" s="91"/>
      <c r="AB957" s="91"/>
    </row>
    <row r="958" ht="15.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c r="AA958" s="91"/>
      <c r="AB958" s="91"/>
    </row>
    <row r="959" ht="15.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c r="AA959" s="91"/>
      <c r="AB959" s="91"/>
    </row>
    <row r="960" ht="15.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c r="AA960" s="91"/>
      <c r="AB960" s="91"/>
    </row>
    <row r="961" ht="15.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c r="AA961" s="91"/>
      <c r="AB961" s="91"/>
    </row>
    <row r="962" ht="15.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c r="AA962" s="91"/>
      <c r="AB962" s="91"/>
    </row>
    <row r="963" ht="15.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c r="AA963" s="91"/>
      <c r="AB963" s="91"/>
    </row>
    <row r="964" ht="15.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c r="AA964" s="91"/>
      <c r="AB964" s="91"/>
    </row>
    <row r="965" ht="15.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c r="AA965" s="91"/>
      <c r="AB965" s="91"/>
    </row>
    <row r="966" ht="15.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c r="AA966" s="91"/>
      <c r="AB966" s="91"/>
    </row>
    <row r="967" ht="15.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c r="AA967" s="91"/>
      <c r="AB967" s="91"/>
    </row>
    <row r="968" ht="15.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c r="AA968" s="91"/>
      <c r="AB968" s="91"/>
    </row>
    <row r="969" ht="15.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c r="AA969" s="91"/>
      <c r="AB969" s="91"/>
    </row>
    <row r="970" ht="15.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c r="AA970" s="91"/>
      <c r="AB970" s="91"/>
    </row>
    <row r="971" ht="15.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c r="AA971" s="91"/>
      <c r="AB971" s="91"/>
    </row>
    <row r="972" ht="15.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c r="AA972" s="91"/>
      <c r="AB972" s="91"/>
    </row>
    <row r="973" ht="15.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c r="AA973" s="91"/>
      <c r="AB973" s="91"/>
    </row>
    <row r="974" ht="15.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c r="AA974" s="91"/>
      <c r="AB974" s="91"/>
    </row>
    <row r="975" ht="15.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c r="AA975" s="91"/>
      <c r="AB975" s="91"/>
    </row>
    <row r="976" ht="15.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c r="AA976" s="91"/>
      <c r="AB976" s="91"/>
    </row>
    <row r="977" ht="15.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c r="AA977" s="91"/>
      <c r="AB977" s="91"/>
    </row>
    <row r="978" ht="15.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c r="AA978" s="91"/>
      <c r="AB978" s="91"/>
    </row>
    <row r="979" ht="15.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c r="AA979" s="91"/>
      <c r="AB979" s="91"/>
    </row>
    <row r="980" ht="15.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c r="AA980" s="91"/>
      <c r="AB980" s="91"/>
    </row>
    <row r="981" ht="15.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c r="AA981" s="91"/>
      <c r="AB981" s="91"/>
    </row>
    <row r="982" ht="15.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c r="AA982" s="91"/>
      <c r="AB982" s="91"/>
    </row>
    <row r="983" ht="15.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c r="AA983" s="91"/>
      <c r="AB983" s="91"/>
    </row>
    <row r="984" ht="15.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c r="AA984" s="91"/>
      <c r="AB984" s="91"/>
    </row>
    <row r="985" ht="15.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c r="AA985" s="91"/>
      <c r="AB985" s="91"/>
    </row>
    <row r="986" ht="15.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c r="AA986" s="91"/>
      <c r="AB986" s="91"/>
    </row>
    <row r="987" ht="15.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c r="AA987" s="91"/>
      <c r="AB987" s="91"/>
    </row>
    <row r="988" ht="15.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c r="AA988" s="91"/>
      <c r="AB988" s="91"/>
    </row>
    <row r="989" ht="15.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c r="AA989" s="91"/>
      <c r="AB989" s="91"/>
    </row>
    <row r="990" ht="15.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c r="AA990" s="91"/>
      <c r="AB990" s="91"/>
    </row>
    <row r="991" ht="15.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c r="AA991" s="91"/>
      <c r="AB991" s="91"/>
    </row>
    <row r="992" ht="15.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c r="AA992" s="91"/>
      <c r="AB992" s="91"/>
    </row>
    <row r="993" ht="15.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c r="AA993" s="91"/>
      <c r="AB993" s="91"/>
    </row>
    <row r="994" ht="15.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c r="AA994" s="91"/>
      <c r="AB994" s="91"/>
    </row>
    <row r="995" ht="15.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c r="AA995" s="91"/>
      <c r="AB995" s="91"/>
    </row>
    <row r="996" ht="15.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c r="AA996" s="91"/>
      <c r="AB996" s="91"/>
    </row>
    <row r="997" ht="15.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c r="AA997" s="91"/>
      <c r="AB997" s="91"/>
    </row>
    <row r="998" ht="15.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c r="AB998" s="91"/>
    </row>
    <row r="999" ht="15.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c r="AA999" s="91"/>
      <c r="AB999" s="91"/>
    </row>
    <row r="1000" ht="15.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c r="AA1000" s="91"/>
      <c r="AB1000" s="91"/>
    </row>
    <row r="1001" ht="15.75" customHeight="1">
      <c r="A1001" s="91"/>
      <c r="B1001" s="91"/>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c r="Z1001" s="91"/>
      <c r="AA1001" s="91"/>
      <c r="AB1001" s="91"/>
    </row>
    <row r="1002" ht="15.75" customHeight="1">
      <c r="A1002" s="91"/>
      <c r="B1002" s="91"/>
      <c r="C1002" s="91"/>
      <c r="D1002" s="91"/>
      <c r="E1002" s="91"/>
      <c r="F1002" s="91"/>
      <c r="G1002" s="91"/>
      <c r="H1002" s="91"/>
      <c r="I1002" s="91"/>
      <c r="J1002" s="91"/>
      <c r="K1002" s="91"/>
      <c r="L1002" s="91"/>
      <c r="M1002" s="91"/>
      <c r="N1002" s="91"/>
      <c r="O1002" s="91"/>
      <c r="P1002" s="91"/>
      <c r="Q1002" s="91"/>
      <c r="R1002" s="91"/>
      <c r="S1002" s="91"/>
      <c r="T1002" s="91"/>
      <c r="U1002" s="91"/>
      <c r="V1002" s="91"/>
      <c r="W1002" s="91"/>
      <c r="X1002" s="91"/>
      <c r="Y1002" s="91"/>
      <c r="Z1002" s="91"/>
      <c r="AA1002" s="91"/>
      <c r="AB1002" s="91"/>
    </row>
    <row r="1003" ht="15.75" customHeight="1">
      <c r="A1003" s="91"/>
      <c r="B1003" s="91"/>
      <c r="C1003" s="91"/>
      <c r="D1003" s="91"/>
      <c r="E1003" s="91"/>
      <c r="F1003" s="91"/>
      <c r="G1003" s="91"/>
      <c r="H1003" s="91"/>
      <c r="I1003" s="91"/>
      <c r="J1003" s="91"/>
      <c r="K1003" s="91"/>
      <c r="L1003" s="91"/>
      <c r="M1003" s="91"/>
      <c r="N1003" s="91"/>
      <c r="O1003" s="91"/>
      <c r="P1003" s="91"/>
      <c r="Q1003" s="91"/>
      <c r="R1003" s="91"/>
      <c r="S1003" s="91"/>
      <c r="T1003" s="91"/>
      <c r="U1003" s="91"/>
      <c r="V1003" s="91"/>
      <c r="W1003" s="91"/>
      <c r="X1003" s="91"/>
      <c r="Y1003" s="91"/>
      <c r="Z1003" s="91"/>
      <c r="AA1003" s="91"/>
      <c r="AB1003" s="91"/>
    </row>
    <row r="1004" ht="15.75" customHeight="1">
      <c r="A1004" s="91"/>
      <c r="B1004" s="91"/>
      <c r="C1004" s="91"/>
      <c r="D1004" s="91"/>
      <c r="E1004" s="91"/>
      <c r="F1004" s="91"/>
      <c r="G1004" s="91"/>
      <c r="H1004" s="91"/>
      <c r="I1004" s="91"/>
      <c r="J1004" s="91"/>
      <c r="K1004" s="91"/>
      <c r="L1004" s="91"/>
      <c r="M1004" s="91"/>
      <c r="N1004" s="91"/>
      <c r="O1004" s="91"/>
      <c r="P1004" s="91"/>
      <c r="Q1004" s="91"/>
      <c r="R1004" s="91"/>
      <c r="S1004" s="91"/>
      <c r="T1004" s="91"/>
      <c r="U1004" s="91"/>
      <c r="V1004" s="91"/>
      <c r="W1004" s="91"/>
      <c r="X1004" s="91"/>
      <c r="Y1004" s="91"/>
      <c r="Z1004" s="91"/>
      <c r="AA1004" s="91"/>
      <c r="AB1004" s="91"/>
    </row>
    <row r="1005" ht="15.75" customHeight="1">
      <c r="A1005" s="91"/>
      <c r="B1005" s="91"/>
      <c r="C1005" s="91"/>
      <c r="D1005" s="91"/>
      <c r="E1005" s="91"/>
      <c r="F1005" s="91"/>
      <c r="G1005" s="91"/>
      <c r="H1005" s="91"/>
      <c r="I1005" s="91"/>
      <c r="J1005" s="91"/>
      <c r="K1005" s="91"/>
      <c r="L1005" s="91"/>
      <c r="M1005" s="91"/>
      <c r="N1005" s="91"/>
      <c r="O1005" s="91"/>
      <c r="P1005" s="91"/>
      <c r="Q1005" s="91"/>
      <c r="R1005" s="91"/>
      <c r="S1005" s="91"/>
      <c r="T1005" s="91"/>
      <c r="U1005" s="91"/>
      <c r="V1005" s="91"/>
      <c r="W1005" s="91"/>
      <c r="X1005" s="91"/>
      <c r="Y1005" s="91"/>
      <c r="Z1005" s="91"/>
      <c r="AA1005" s="91"/>
      <c r="AB1005" s="91"/>
    </row>
    <row r="1006" ht="15.75" customHeight="1">
      <c r="A1006" s="91"/>
      <c r="B1006" s="91"/>
      <c r="C1006" s="91"/>
      <c r="D1006" s="91"/>
      <c r="E1006" s="91"/>
      <c r="F1006" s="91"/>
      <c r="G1006" s="91"/>
      <c r="H1006" s="91"/>
      <c r="I1006" s="91"/>
      <c r="J1006" s="91"/>
      <c r="K1006" s="91"/>
      <c r="L1006" s="91"/>
      <c r="M1006" s="91"/>
      <c r="N1006" s="91"/>
      <c r="O1006" s="91"/>
      <c r="P1006" s="91"/>
      <c r="Q1006" s="91"/>
      <c r="R1006" s="91"/>
      <c r="S1006" s="91"/>
      <c r="T1006" s="91"/>
      <c r="U1006" s="91"/>
      <c r="V1006" s="91"/>
      <c r="W1006" s="91"/>
      <c r="X1006" s="91"/>
      <c r="Y1006" s="91"/>
      <c r="Z1006" s="91"/>
      <c r="AA1006" s="91"/>
      <c r="AB1006" s="91"/>
    </row>
    <row r="1007" ht="15.75" customHeight="1">
      <c r="A1007" s="91"/>
      <c r="B1007" s="91"/>
      <c r="C1007" s="91"/>
      <c r="D1007" s="91"/>
      <c r="E1007" s="91"/>
      <c r="F1007" s="91"/>
      <c r="G1007" s="91"/>
      <c r="H1007" s="91"/>
      <c r="I1007" s="91"/>
      <c r="J1007" s="91"/>
      <c r="K1007" s="91"/>
      <c r="L1007" s="91"/>
      <c r="M1007" s="91"/>
      <c r="N1007" s="91"/>
      <c r="O1007" s="91"/>
      <c r="P1007" s="91"/>
      <c r="Q1007" s="91"/>
      <c r="R1007" s="91"/>
      <c r="S1007" s="91"/>
      <c r="T1007" s="91"/>
      <c r="U1007" s="91"/>
      <c r="V1007" s="91"/>
      <c r="W1007" s="91"/>
      <c r="X1007" s="91"/>
      <c r="Y1007" s="91"/>
      <c r="Z1007" s="91"/>
      <c r="AA1007" s="91"/>
      <c r="AB1007" s="91"/>
    </row>
    <row r="1008" ht="15.75" customHeight="1">
      <c r="A1008" s="91"/>
      <c r="B1008" s="91"/>
      <c r="C1008" s="91"/>
      <c r="D1008" s="91"/>
      <c r="E1008" s="91"/>
      <c r="F1008" s="91"/>
      <c r="G1008" s="91"/>
      <c r="H1008" s="91"/>
      <c r="I1008" s="91"/>
      <c r="J1008" s="91"/>
      <c r="K1008" s="91"/>
      <c r="L1008" s="91"/>
      <c r="M1008" s="91"/>
      <c r="N1008" s="91"/>
      <c r="O1008" s="91"/>
      <c r="P1008" s="91"/>
      <c r="Q1008" s="91"/>
      <c r="R1008" s="91"/>
      <c r="S1008" s="91"/>
      <c r="T1008" s="91"/>
      <c r="U1008" s="91"/>
      <c r="V1008" s="91"/>
      <c r="W1008" s="91"/>
      <c r="X1008" s="91"/>
      <c r="Y1008" s="91"/>
      <c r="Z1008" s="91"/>
      <c r="AA1008" s="91"/>
      <c r="AB1008" s="91"/>
    </row>
    <row r="1009" ht="15.75" customHeight="1">
      <c r="A1009" s="91"/>
      <c r="B1009" s="91"/>
      <c r="C1009" s="91"/>
      <c r="D1009" s="91"/>
      <c r="E1009" s="91"/>
      <c r="F1009" s="91"/>
      <c r="G1009" s="91"/>
      <c r="H1009" s="91"/>
      <c r="I1009" s="91"/>
      <c r="J1009" s="91"/>
      <c r="K1009" s="91"/>
      <c r="L1009" s="91"/>
      <c r="M1009" s="91"/>
      <c r="N1009" s="91"/>
      <c r="O1009" s="91"/>
      <c r="P1009" s="91"/>
      <c r="Q1009" s="91"/>
      <c r="R1009" s="91"/>
      <c r="S1009" s="91"/>
      <c r="T1009" s="91"/>
      <c r="U1009" s="91"/>
      <c r="V1009" s="91"/>
      <c r="W1009" s="91"/>
      <c r="X1009" s="91"/>
      <c r="Y1009" s="91"/>
      <c r="Z1009" s="91"/>
      <c r="AA1009" s="91"/>
      <c r="AB1009" s="91"/>
    </row>
    <row r="1010" ht="15.75" customHeight="1">
      <c r="A1010" s="91"/>
      <c r="B1010" s="91"/>
      <c r="C1010" s="91"/>
      <c r="D1010" s="91"/>
      <c r="E1010" s="91"/>
      <c r="F1010" s="91"/>
      <c r="G1010" s="91"/>
      <c r="H1010" s="91"/>
      <c r="I1010" s="91"/>
      <c r="J1010" s="91"/>
      <c r="K1010" s="91"/>
      <c r="L1010" s="91"/>
      <c r="M1010" s="91"/>
      <c r="N1010" s="91"/>
      <c r="O1010" s="91"/>
      <c r="P1010" s="91"/>
      <c r="Q1010" s="91"/>
      <c r="R1010" s="91"/>
      <c r="S1010" s="91"/>
      <c r="T1010" s="91"/>
      <c r="U1010" s="91"/>
      <c r="V1010" s="91"/>
      <c r="W1010" s="91"/>
      <c r="X1010" s="91"/>
      <c r="Y1010" s="91"/>
      <c r="Z1010" s="91"/>
      <c r="AA1010" s="91"/>
      <c r="AB1010" s="91"/>
    </row>
    <row r="1011" ht="15.75" customHeight="1">
      <c r="A1011" s="91"/>
      <c r="B1011" s="91"/>
      <c r="C1011" s="91"/>
      <c r="D1011" s="91"/>
      <c r="E1011" s="91"/>
      <c r="F1011" s="91"/>
      <c r="G1011" s="91"/>
      <c r="H1011" s="91"/>
      <c r="I1011" s="91"/>
      <c r="J1011" s="91"/>
      <c r="K1011" s="91"/>
      <c r="L1011" s="91"/>
      <c r="M1011" s="91"/>
      <c r="N1011" s="91"/>
      <c r="O1011" s="91"/>
      <c r="P1011" s="91"/>
      <c r="Q1011" s="91"/>
      <c r="R1011" s="91"/>
      <c r="S1011" s="91"/>
      <c r="T1011" s="91"/>
      <c r="U1011" s="91"/>
      <c r="V1011" s="91"/>
      <c r="W1011" s="91"/>
      <c r="X1011" s="91"/>
      <c r="Y1011" s="91"/>
      <c r="Z1011" s="91"/>
      <c r="AA1011" s="91"/>
      <c r="AB1011" s="91"/>
    </row>
    <row r="1012" ht="15.75" customHeight="1">
      <c r="A1012" s="91"/>
      <c r="B1012" s="91"/>
      <c r="C1012" s="91"/>
      <c r="D1012" s="91"/>
      <c r="E1012" s="91"/>
      <c r="F1012" s="91"/>
      <c r="G1012" s="91"/>
      <c r="H1012" s="91"/>
      <c r="I1012" s="91"/>
      <c r="J1012" s="91"/>
      <c r="K1012" s="91"/>
      <c r="L1012" s="91"/>
      <c r="M1012" s="91"/>
      <c r="N1012" s="91"/>
      <c r="O1012" s="91"/>
      <c r="P1012" s="91"/>
      <c r="Q1012" s="91"/>
      <c r="R1012" s="91"/>
      <c r="S1012" s="91"/>
      <c r="T1012" s="91"/>
      <c r="U1012" s="91"/>
      <c r="V1012" s="91"/>
      <c r="W1012" s="91"/>
      <c r="X1012" s="91"/>
      <c r="Y1012" s="91"/>
      <c r="Z1012" s="91"/>
      <c r="AA1012" s="91"/>
      <c r="AB1012" s="91"/>
    </row>
    <row r="1013" ht="15.75" customHeight="1">
      <c r="A1013" s="91"/>
      <c r="B1013" s="91"/>
      <c r="C1013" s="91"/>
      <c r="D1013" s="91"/>
      <c r="E1013" s="91"/>
      <c r="F1013" s="91"/>
      <c r="G1013" s="91"/>
      <c r="H1013" s="91"/>
      <c r="I1013" s="91"/>
      <c r="J1013" s="91"/>
      <c r="K1013" s="91"/>
      <c r="L1013" s="91"/>
      <c r="M1013" s="91"/>
      <c r="N1013" s="91"/>
      <c r="O1013" s="91"/>
      <c r="P1013" s="91"/>
      <c r="Q1013" s="91"/>
      <c r="R1013" s="91"/>
      <c r="S1013" s="91"/>
      <c r="T1013" s="91"/>
      <c r="U1013" s="91"/>
      <c r="V1013" s="91"/>
      <c r="W1013" s="91"/>
      <c r="X1013" s="91"/>
      <c r="Y1013" s="91"/>
      <c r="Z1013" s="91"/>
      <c r="AA1013" s="91"/>
      <c r="AB1013" s="91"/>
    </row>
    <row r="1014" ht="15.75" customHeight="1">
      <c r="A1014" s="91"/>
      <c r="B1014" s="91"/>
      <c r="C1014" s="91"/>
      <c r="D1014" s="91"/>
      <c r="E1014" s="91"/>
      <c r="F1014" s="91"/>
      <c r="G1014" s="91"/>
      <c r="H1014" s="91"/>
      <c r="I1014" s="91"/>
      <c r="J1014" s="91"/>
      <c r="K1014" s="91"/>
      <c r="L1014" s="91"/>
      <c r="M1014" s="91"/>
      <c r="N1014" s="91"/>
      <c r="O1014" s="91"/>
      <c r="P1014" s="91"/>
      <c r="Q1014" s="91"/>
      <c r="R1014" s="91"/>
      <c r="S1014" s="91"/>
      <c r="T1014" s="91"/>
      <c r="U1014" s="91"/>
      <c r="V1014" s="91"/>
      <c r="W1014" s="91"/>
      <c r="X1014" s="91"/>
      <c r="Y1014" s="91"/>
      <c r="Z1014" s="91"/>
      <c r="AA1014" s="91"/>
      <c r="AB1014" s="91"/>
    </row>
    <row r="1015" ht="15.75" customHeight="1">
      <c r="A1015" s="91"/>
      <c r="B1015" s="91"/>
      <c r="C1015" s="91"/>
      <c r="D1015" s="91"/>
      <c r="E1015" s="91"/>
      <c r="F1015" s="91"/>
      <c r="G1015" s="91"/>
      <c r="H1015" s="91"/>
      <c r="I1015" s="91"/>
      <c r="J1015" s="91"/>
      <c r="K1015" s="91"/>
      <c r="L1015" s="91"/>
      <c r="M1015" s="91"/>
      <c r="N1015" s="91"/>
      <c r="O1015" s="91"/>
      <c r="P1015" s="91"/>
      <c r="Q1015" s="91"/>
      <c r="R1015" s="91"/>
      <c r="S1015" s="91"/>
      <c r="T1015" s="91"/>
      <c r="U1015" s="91"/>
      <c r="V1015" s="91"/>
      <c r="W1015" s="91"/>
      <c r="X1015" s="91"/>
      <c r="Y1015" s="91"/>
      <c r="Z1015" s="91"/>
      <c r="AA1015" s="91"/>
      <c r="AB1015" s="91"/>
    </row>
    <row r="1016" ht="15.75" customHeight="1">
      <c r="A1016" s="91"/>
      <c r="B1016" s="91"/>
      <c r="C1016" s="91"/>
      <c r="D1016" s="91"/>
      <c r="E1016" s="91"/>
      <c r="F1016" s="91"/>
      <c r="G1016" s="91"/>
      <c r="H1016" s="91"/>
      <c r="I1016" s="91"/>
      <c r="J1016" s="91"/>
      <c r="K1016" s="91"/>
      <c r="L1016" s="91"/>
      <c r="M1016" s="91"/>
      <c r="N1016" s="91"/>
      <c r="O1016" s="91"/>
      <c r="P1016" s="91"/>
      <c r="Q1016" s="91"/>
      <c r="R1016" s="91"/>
      <c r="S1016" s="91"/>
      <c r="T1016" s="91"/>
      <c r="U1016" s="91"/>
      <c r="V1016" s="91"/>
      <c r="W1016" s="91"/>
      <c r="X1016" s="91"/>
      <c r="Y1016" s="91"/>
      <c r="Z1016" s="91"/>
      <c r="AA1016" s="91"/>
      <c r="AB1016" s="91"/>
    </row>
    <row r="1017" ht="15.75" customHeight="1">
      <c r="A1017" s="91"/>
      <c r="B1017" s="91"/>
      <c r="C1017" s="91"/>
      <c r="D1017" s="91"/>
      <c r="E1017" s="91"/>
      <c r="F1017" s="91"/>
      <c r="G1017" s="91"/>
      <c r="H1017" s="91"/>
      <c r="I1017" s="91"/>
      <c r="J1017" s="91"/>
      <c r="K1017" s="91"/>
      <c r="L1017" s="91"/>
      <c r="M1017" s="91"/>
      <c r="N1017" s="91"/>
      <c r="O1017" s="91"/>
      <c r="P1017" s="91"/>
      <c r="Q1017" s="91"/>
      <c r="R1017" s="91"/>
      <c r="S1017" s="91"/>
      <c r="T1017" s="91"/>
      <c r="U1017" s="91"/>
      <c r="V1017" s="91"/>
      <c r="W1017" s="91"/>
      <c r="X1017" s="91"/>
      <c r="Y1017" s="91"/>
      <c r="Z1017" s="91"/>
      <c r="AA1017" s="91"/>
      <c r="AB1017" s="91"/>
    </row>
    <row r="1018" ht="15.75" customHeight="1">
      <c r="A1018" s="91"/>
      <c r="B1018" s="91"/>
      <c r="C1018" s="91"/>
      <c r="D1018" s="91"/>
      <c r="E1018" s="91"/>
      <c r="F1018" s="91"/>
      <c r="G1018" s="91"/>
      <c r="H1018" s="91"/>
      <c r="I1018" s="91"/>
      <c r="J1018" s="91"/>
      <c r="K1018" s="91"/>
      <c r="L1018" s="91"/>
      <c r="M1018" s="91"/>
      <c r="N1018" s="91"/>
      <c r="O1018" s="91"/>
      <c r="P1018" s="91"/>
      <c r="Q1018" s="91"/>
      <c r="R1018" s="91"/>
      <c r="S1018" s="91"/>
      <c r="T1018" s="91"/>
      <c r="U1018" s="91"/>
      <c r="V1018" s="91"/>
      <c r="W1018" s="91"/>
      <c r="X1018" s="91"/>
      <c r="Y1018" s="91"/>
      <c r="Z1018" s="91"/>
      <c r="AA1018" s="91"/>
      <c r="AB1018" s="91"/>
    </row>
    <row r="1019" ht="15.75" customHeight="1">
      <c r="A1019" s="91"/>
      <c r="B1019" s="91"/>
      <c r="C1019" s="91"/>
      <c r="D1019" s="91"/>
      <c r="E1019" s="91"/>
      <c r="F1019" s="91"/>
      <c r="G1019" s="91"/>
      <c r="H1019" s="91"/>
      <c r="I1019" s="91"/>
      <c r="J1019" s="91"/>
      <c r="K1019" s="91"/>
      <c r="L1019" s="91"/>
      <c r="M1019" s="91"/>
      <c r="N1019" s="91"/>
      <c r="O1019" s="91"/>
      <c r="P1019" s="91"/>
      <c r="Q1019" s="91"/>
      <c r="R1019" s="91"/>
      <c r="S1019" s="91"/>
      <c r="T1019" s="91"/>
      <c r="U1019" s="91"/>
      <c r="V1019" s="91"/>
      <c r="W1019" s="91"/>
      <c r="X1019" s="91"/>
      <c r="Y1019" s="91"/>
      <c r="Z1019" s="91"/>
      <c r="AA1019" s="91"/>
      <c r="AB1019" s="91"/>
    </row>
    <row r="1020" ht="15.75" customHeight="1">
      <c r="A1020" s="91"/>
      <c r="B1020" s="91"/>
      <c r="C1020" s="91"/>
      <c r="D1020" s="91"/>
      <c r="E1020" s="91"/>
      <c r="F1020" s="91"/>
      <c r="G1020" s="91"/>
      <c r="H1020" s="91"/>
      <c r="I1020" s="91"/>
      <c r="J1020" s="91"/>
      <c r="K1020" s="91"/>
      <c r="L1020" s="91"/>
      <c r="M1020" s="91"/>
      <c r="N1020" s="91"/>
      <c r="O1020" s="91"/>
      <c r="P1020" s="91"/>
      <c r="Q1020" s="91"/>
      <c r="R1020" s="91"/>
      <c r="S1020" s="91"/>
      <c r="T1020" s="91"/>
      <c r="U1020" s="91"/>
      <c r="V1020" s="91"/>
      <c r="W1020" s="91"/>
      <c r="X1020" s="91"/>
      <c r="Y1020" s="91"/>
      <c r="Z1020" s="91"/>
      <c r="AA1020" s="91"/>
      <c r="AB1020" s="91"/>
    </row>
    <row r="1021" ht="15.75" customHeight="1">
      <c r="A1021" s="91"/>
      <c r="B1021" s="91"/>
      <c r="C1021" s="91"/>
      <c r="D1021" s="91"/>
      <c r="E1021" s="91"/>
      <c r="F1021" s="91"/>
      <c r="G1021" s="91"/>
      <c r="H1021" s="91"/>
      <c r="I1021" s="91"/>
      <c r="J1021" s="91"/>
      <c r="K1021" s="91"/>
      <c r="L1021" s="91"/>
      <c r="M1021" s="91"/>
      <c r="N1021" s="91"/>
      <c r="O1021" s="91"/>
      <c r="P1021" s="91"/>
      <c r="Q1021" s="91"/>
      <c r="R1021" s="91"/>
      <c r="S1021" s="91"/>
      <c r="T1021" s="91"/>
      <c r="U1021" s="91"/>
      <c r="V1021" s="91"/>
      <c r="W1021" s="91"/>
      <c r="X1021" s="91"/>
      <c r="Y1021" s="91"/>
      <c r="Z1021" s="91"/>
      <c r="AA1021" s="91"/>
      <c r="AB1021" s="91"/>
    </row>
    <row r="1022" ht="15.75" customHeight="1">
      <c r="A1022" s="91"/>
      <c r="B1022" s="91"/>
      <c r="C1022" s="91"/>
      <c r="D1022" s="91"/>
      <c r="E1022" s="91"/>
      <c r="F1022" s="91"/>
      <c r="G1022" s="91"/>
      <c r="H1022" s="91"/>
      <c r="I1022" s="91"/>
      <c r="J1022" s="91"/>
      <c r="K1022" s="91"/>
      <c r="L1022" s="91"/>
      <c r="M1022" s="91"/>
      <c r="N1022" s="91"/>
      <c r="O1022" s="91"/>
      <c r="P1022" s="91"/>
      <c r="Q1022" s="91"/>
      <c r="R1022" s="91"/>
      <c r="S1022" s="91"/>
      <c r="T1022" s="91"/>
      <c r="U1022" s="91"/>
      <c r="V1022" s="91"/>
      <c r="W1022" s="91"/>
      <c r="X1022" s="91"/>
      <c r="Y1022" s="91"/>
      <c r="Z1022" s="91"/>
      <c r="AA1022" s="91"/>
      <c r="AB1022" s="91"/>
    </row>
    <row r="1023" ht="15.75" customHeight="1">
      <c r="A1023" s="91"/>
      <c r="B1023" s="91"/>
      <c r="C1023" s="91"/>
      <c r="D1023" s="91"/>
      <c r="E1023" s="91"/>
      <c r="F1023" s="91"/>
      <c r="G1023" s="91"/>
      <c r="H1023" s="91"/>
      <c r="I1023" s="91"/>
      <c r="J1023" s="91"/>
      <c r="K1023" s="91"/>
      <c r="L1023" s="91"/>
      <c r="M1023" s="91"/>
      <c r="N1023" s="91"/>
      <c r="O1023" s="91"/>
      <c r="P1023" s="91"/>
      <c r="Q1023" s="91"/>
      <c r="R1023" s="91"/>
      <c r="S1023" s="91"/>
      <c r="T1023" s="91"/>
      <c r="U1023" s="91"/>
      <c r="V1023" s="91"/>
      <c r="W1023" s="91"/>
      <c r="X1023" s="91"/>
      <c r="Y1023" s="91"/>
      <c r="Z1023" s="91"/>
      <c r="AA1023" s="91"/>
      <c r="AB1023" s="91"/>
    </row>
    <row r="1024" ht="15.75" customHeight="1">
      <c r="A1024" s="91"/>
      <c r="B1024" s="91"/>
      <c r="C1024" s="91"/>
      <c r="D1024" s="91"/>
      <c r="E1024" s="91"/>
      <c r="F1024" s="91"/>
      <c r="G1024" s="91"/>
      <c r="H1024" s="91"/>
      <c r="I1024" s="91"/>
      <c r="J1024" s="91"/>
      <c r="K1024" s="91"/>
      <c r="L1024" s="91"/>
      <c r="M1024" s="91"/>
      <c r="N1024" s="91"/>
      <c r="O1024" s="91"/>
      <c r="P1024" s="91"/>
      <c r="Q1024" s="91"/>
      <c r="R1024" s="91"/>
      <c r="S1024" s="91"/>
      <c r="T1024" s="91"/>
      <c r="U1024" s="91"/>
      <c r="V1024" s="91"/>
      <c r="W1024" s="91"/>
      <c r="X1024" s="91"/>
      <c r="Y1024" s="91"/>
      <c r="Z1024" s="91"/>
      <c r="AA1024" s="91"/>
      <c r="AB1024" s="91"/>
    </row>
    <row r="1025" ht="15.75" customHeight="1">
      <c r="A1025" s="91"/>
      <c r="B1025" s="91"/>
      <c r="C1025" s="91"/>
      <c r="D1025" s="91"/>
      <c r="E1025" s="91"/>
      <c r="F1025" s="91"/>
      <c r="G1025" s="91"/>
      <c r="H1025" s="91"/>
      <c r="I1025" s="91"/>
      <c r="J1025" s="91"/>
      <c r="K1025" s="91"/>
      <c r="L1025" s="91"/>
      <c r="M1025" s="91"/>
      <c r="N1025" s="91"/>
      <c r="O1025" s="91"/>
      <c r="P1025" s="91"/>
      <c r="Q1025" s="91"/>
      <c r="R1025" s="91"/>
      <c r="S1025" s="91"/>
      <c r="T1025" s="91"/>
      <c r="U1025" s="91"/>
      <c r="V1025" s="91"/>
      <c r="W1025" s="91"/>
      <c r="X1025" s="91"/>
      <c r="Y1025" s="91"/>
      <c r="Z1025" s="91"/>
      <c r="AA1025" s="91"/>
      <c r="AB1025" s="91"/>
    </row>
    <row r="1026" ht="15.75" customHeight="1">
      <c r="A1026" s="91"/>
      <c r="B1026" s="91"/>
      <c r="C1026" s="91"/>
      <c r="D1026" s="91"/>
      <c r="E1026" s="91"/>
      <c r="F1026" s="91"/>
      <c r="G1026" s="91"/>
      <c r="H1026" s="91"/>
      <c r="I1026" s="91"/>
      <c r="J1026" s="91"/>
      <c r="K1026" s="91"/>
      <c r="L1026" s="91"/>
      <c r="M1026" s="91"/>
      <c r="N1026" s="91"/>
      <c r="O1026" s="91"/>
      <c r="P1026" s="91"/>
      <c r="Q1026" s="91"/>
      <c r="R1026" s="91"/>
      <c r="S1026" s="91"/>
      <c r="T1026" s="91"/>
      <c r="U1026" s="91"/>
      <c r="V1026" s="91"/>
      <c r="W1026" s="91"/>
      <c r="X1026" s="91"/>
      <c r="Y1026" s="91"/>
      <c r="Z1026" s="91"/>
      <c r="AA1026" s="91"/>
      <c r="AB1026" s="91"/>
    </row>
    <row r="1027" ht="15.75" customHeight="1">
      <c r="A1027" s="91"/>
      <c r="B1027" s="91"/>
      <c r="C1027" s="91"/>
      <c r="D1027" s="91"/>
      <c r="E1027" s="91"/>
      <c r="F1027" s="91"/>
      <c r="G1027" s="91"/>
      <c r="H1027" s="91"/>
      <c r="I1027" s="91"/>
      <c r="J1027" s="91"/>
      <c r="K1027" s="91"/>
      <c r="L1027" s="91"/>
      <c r="M1027" s="91"/>
      <c r="N1027" s="91"/>
      <c r="O1027" s="91"/>
      <c r="P1027" s="91"/>
      <c r="Q1027" s="91"/>
      <c r="R1027" s="91"/>
      <c r="S1027" s="91"/>
      <c r="T1027" s="91"/>
      <c r="U1027" s="91"/>
      <c r="V1027" s="91"/>
      <c r="W1027" s="91"/>
      <c r="X1027" s="91"/>
      <c r="Y1027" s="91"/>
      <c r="Z1027" s="91"/>
      <c r="AA1027" s="91"/>
      <c r="AB1027" s="91"/>
    </row>
    <row r="1028" ht="15.75" customHeight="1">
      <c r="A1028" s="91"/>
      <c r="B1028" s="91"/>
      <c r="C1028" s="91"/>
      <c r="D1028" s="91"/>
      <c r="E1028" s="91"/>
      <c r="F1028" s="91"/>
      <c r="G1028" s="91"/>
      <c r="H1028" s="91"/>
      <c r="I1028" s="91"/>
      <c r="J1028" s="91"/>
      <c r="K1028" s="91"/>
      <c r="L1028" s="91"/>
      <c r="M1028" s="91"/>
      <c r="N1028" s="91"/>
      <c r="O1028" s="91"/>
      <c r="P1028" s="91"/>
      <c r="Q1028" s="91"/>
      <c r="R1028" s="91"/>
      <c r="S1028" s="91"/>
      <c r="T1028" s="91"/>
      <c r="U1028" s="91"/>
      <c r="V1028" s="91"/>
      <c r="W1028" s="91"/>
      <c r="X1028" s="91"/>
      <c r="Y1028" s="91"/>
      <c r="Z1028" s="91"/>
      <c r="AA1028" s="91"/>
      <c r="AB1028" s="91"/>
    </row>
    <row r="1029" ht="15.75" customHeight="1">
      <c r="A1029" s="91"/>
      <c r="B1029" s="91"/>
      <c r="C1029" s="91"/>
      <c r="D1029" s="91"/>
      <c r="E1029" s="91"/>
      <c r="F1029" s="91"/>
      <c r="G1029" s="91"/>
      <c r="H1029" s="91"/>
      <c r="I1029" s="91"/>
      <c r="J1029" s="91"/>
      <c r="K1029" s="91"/>
      <c r="L1029" s="91"/>
      <c r="M1029" s="91"/>
      <c r="N1029" s="91"/>
      <c r="O1029" s="91"/>
      <c r="P1029" s="91"/>
      <c r="Q1029" s="91"/>
      <c r="R1029" s="91"/>
      <c r="S1029" s="91"/>
      <c r="T1029" s="91"/>
      <c r="U1029" s="91"/>
      <c r="V1029" s="91"/>
      <c r="W1029" s="91"/>
      <c r="X1029" s="91"/>
      <c r="Y1029" s="91"/>
      <c r="Z1029" s="91"/>
      <c r="AA1029" s="91"/>
      <c r="AB1029" s="91"/>
    </row>
    <row r="1030" ht="15.75" customHeight="1">
      <c r="A1030" s="91"/>
      <c r="B1030" s="91"/>
      <c r="C1030" s="91"/>
      <c r="D1030" s="91"/>
      <c r="E1030" s="91"/>
      <c r="F1030" s="91"/>
      <c r="G1030" s="91"/>
      <c r="H1030" s="91"/>
      <c r="I1030" s="91"/>
      <c r="J1030" s="91"/>
      <c r="K1030" s="91"/>
      <c r="L1030" s="91"/>
      <c r="M1030" s="91"/>
      <c r="N1030" s="91"/>
      <c r="O1030" s="91"/>
      <c r="P1030" s="91"/>
      <c r="Q1030" s="91"/>
      <c r="R1030" s="91"/>
      <c r="S1030" s="91"/>
      <c r="T1030" s="91"/>
      <c r="U1030" s="91"/>
      <c r="V1030" s="91"/>
      <c r="W1030" s="91"/>
      <c r="X1030" s="91"/>
      <c r="Y1030" s="91"/>
      <c r="Z1030" s="91"/>
      <c r="AA1030" s="91"/>
      <c r="AB1030" s="91"/>
    </row>
    <row r="1031" ht="15.75" customHeight="1">
      <c r="A1031" s="91"/>
      <c r="B1031" s="91"/>
      <c r="C1031" s="91"/>
      <c r="D1031" s="91"/>
      <c r="E1031" s="91"/>
      <c r="F1031" s="91"/>
      <c r="G1031" s="91"/>
      <c r="H1031" s="91"/>
      <c r="I1031" s="91"/>
      <c r="J1031" s="91"/>
      <c r="K1031" s="91"/>
      <c r="L1031" s="91"/>
      <c r="M1031" s="91"/>
      <c r="N1031" s="91"/>
      <c r="O1031" s="91"/>
      <c r="P1031" s="91"/>
      <c r="Q1031" s="91"/>
      <c r="R1031" s="91"/>
      <c r="S1031" s="91"/>
      <c r="T1031" s="91"/>
      <c r="U1031" s="91"/>
      <c r="V1031" s="91"/>
      <c r="W1031" s="91"/>
      <c r="X1031" s="91"/>
      <c r="Y1031" s="91"/>
      <c r="Z1031" s="91"/>
      <c r="AA1031" s="91"/>
      <c r="AB1031" s="91"/>
    </row>
    <row r="1032" ht="15.75" customHeight="1">
      <c r="A1032" s="91"/>
      <c r="B1032" s="91"/>
      <c r="C1032" s="91"/>
      <c r="D1032" s="91"/>
      <c r="E1032" s="91"/>
      <c r="F1032" s="91"/>
      <c r="G1032" s="91"/>
      <c r="H1032" s="91"/>
      <c r="I1032" s="91"/>
      <c r="J1032" s="91"/>
      <c r="K1032" s="91"/>
      <c r="L1032" s="91"/>
      <c r="M1032" s="91"/>
      <c r="N1032" s="91"/>
      <c r="O1032" s="91"/>
      <c r="P1032" s="91"/>
      <c r="Q1032" s="91"/>
      <c r="R1032" s="91"/>
      <c r="S1032" s="91"/>
      <c r="T1032" s="91"/>
      <c r="U1032" s="91"/>
      <c r="V1032" s="91"/>
      <c r="W1032" s="91"/>
      <c r="X1032" s="91"/>
      <c r="Y1032" s="91"/>
      <c r="Z1032" s="91"/>
      <c r="AA1032" s="91"/>
      <c r="AB1032" s="91"/>
    </row>
    <row r="1033" ht="15.75" customHeight="1">
      <c r="A1033" s="91"/>
      <c r="B1033" s="91"/>
      <c r="C1033" s="91"/>
      <c r="D1033" s="91"/>
      <c r="E1033" s="91"/>
      <c r="F1033" s="91"/>
      <c r="G1033" s="91"/>
      <c r="H1033" s="91"/>
      <c r="I1033" s="91"/>
      <c r="J1033" s="91"/>
      <c r="K1033" s="91"/>
      <c r="L1033" s="91"/>
      <c r="M1033" s="91"/>
      <c r="N1033" s="91"/>
      <c r="O1033" s="91"/>
      <c r="P1033" s="91"/>
      <c r="Q1033" s="91"/>
      <c r="R1033" s="91"/>
      <c r="S1033" s="91"/>
      <c r="T1033" s="91"/>
      <c r="U1033" s="91"/>
      <c r="V1033" s="91"/>
      <c r="W1033" s="91"/>
      <c r="X1033" s="91"/>
      <c r="Y1033" s="91"/>
      <c r="Z1033" s="91"/>
      <c r="AA1033" s="91"/>
      <c r="AB1033" s="91"/>
    </row>
    <row r="1034" ht="15.75" customHeight="1">
      <c r="A1034" s="91"/>
      <c r="B1034" s="91"/>
      <c r="C1034" s="91"/>
      <c r="D1034" s="91"/>
      <c r="E1034" s="91"/>
      <c r="F1034" s="91"/>
      <c r="G1034" s="91"/>
      <c r="H1034" s="91"/>
      <c r="I1034" s="91"/>
      <c r="J1034" s="91"/>
      <c r="K1034" s="91"/>
      <c r="L1034" s="91"/>
      <c r="M1034" s="91"/>
      <c r="N1034" s="91"/>
      <c r="O1034" s="91"/>
      <c r="P1034" s="91"/>
      <c r="Q1034" s="91"/>
      <c r="R1034" s="91"/>
      <c r="S1034" s="91"/>
      <c r="T1034" s="91"/>
      <c r="U1034" s="91"/>
      <c r="V1034" s="91"/>
      <c r="W1034" s="91"/>
      <c r="X1034" s="91"/>
      <c r="Y1034" s="91"/>
      <c r="Z1034" s="91"/>
      <c r="AA1034" s="91"/>
      <c r="AB1034" s="91"/>
    </row>
    <row r="1035" ht="15.75" customHeight="1">
      <c r="A1035" s="91"/>
      <c r="B1035" s="91"/>
      <c r="C1035" s="91"/>
      <c r="D1035" s="91"/>
      <c r="E1035" s="91"/>
      <c r="F1035" s="91"/>
      <c r="G1035" s="91"/>
      <c r="H1035" s="91"/>
      <c r="I1035" s="91"/>
      <c r="J1035" s="91"/>
      <c r="K1035" s="91"/>
      <c r="L1035" s="91"/>
      <c r="M1035" s="91"/>
      <c r="N1035" s="91"/>
      <c r="O1035" s="91"/>
      <c r="P1035" s="91"/>
      <c r="Q1035" s="91"/>
      <c r="R1035" s="91"/>
      <c r="S1035" s="91"/>
      <c r="T1035" s="91"/>
      <c r="U1035" s="91"/>
      <c r="V1035" s="91"/>
      <c r="W1035" s="91"/>
      <c r="X1035" s="91"/>
      <c r="Y1035" s="91"/>
      <c r="Z1035" s="91"/>
      <c r="AA1035" s="91"/>
      <c r="AB1035" s="91"/>
    </row>
    <row r="1036" ht="15.75" customHeight="1">
      <c r="A1036" s="91"/>
      <c r="B1036" s="91"/>
      <c r="C1036" s="91"/>
      <c r="D1036" s="91"/>
      <c r="E1036" s="91"/>
      <c r="F1036" s="91"/>
      <c r="G1036" s="91"/>
      <c r="H1036" s="91"/>
      <c r="I1036" s="91"/>
      <c r="J1036" s="91"/>
      <c r="K1036" s="91"/>
      <c r="L1036" s="91"/>
      <c r="M1036" s="91"/>
      <c r="N1036" s="91"/>
      <c r="O1036" s="91"/>
      <c r="P1036" s="91"/>
      <c r="Q1036" s="91"/>
      <c r="R1036" s="91"/>
      <c r="S1036" s="91"/>
      <c r="T1036" s="91"/>
      <c r="U1036" s="91"/>
      <c r="V1036" s="91"/>
      <c r="W1036" s="91"/>
      <c r="X1036" s="91"/>
      <c r="Y1036" s="91"/>
      <c r="Z1036" s="91"/>
      <c r="AA1036" s="91"/>
      <c r="AB1036" s="91"/>
    </row>
    <row r="1037" ht="15.75" customHeight="1">
      <c r="A1037" s="91"/>
      <c r="B1037" s="91"/>
      <c r="C1037" s="91"/>
      <c r="D1037" s="91"/>
      <c r="E1037" s="91"/>
      <c r="F1037" s="91"/>
      <c r="G1037" s="91"/>
      <c r="H1037" s="91"/>
      <c r="I1037" s="91"/>
      <c r="J1037" s="91"/>
      <c r="K1037" s="91"/>
      <c r="L1037" s="91"/>
      <c r="M1037" s="91"/>
      <c r="N1037" s="91"/>
      <c r="O1037" s="91"/>
      <c r="P1037" s="91"/>
      <c r="Q1037" s="91"/>
      <c r="R1037" s="91"/>
      <c r="S1037" s="91"/>
      <c r="T1037" s="91"/>
      <c r="U1037" s="91"/>
      <c r="V1037" s="91"/>
      <c r="W1037" s="91"/>
      <c r="X1037" s="91"/>
      <c r="Y1037" s="91"/>
      <c r="Z1037" s="91"/>
      <c r="AA1037" s="91"/>
      <c r="AB1037" s="91"/>
    </row>
    <row r="1038" ht="15.75" customHeight="1">
      <c r="A1038" s="91"/>
      <c r="B1038" s="91"/>
      <c r="C1038" s="91"/>
      <c r="D1038" s="91"/>
      <c r="E1038" s="91"/>
      <c r="F1038" s="91"/>
      <c r="G1038" s="91"/>
      <c r="H1038" s="91"/>
      <c r="I1038" s="91"/>
      <c r="J1038" s="91"/>
      <c r="K1038" s="91"/>
      <c r="L1038" s="91"/>
      <c r="M1038" s="91"/>
      <c r="N1038" s="91"/>
      <c r="O1038" s="91"/>
      <c r="P1038" s="91"/>
      <c r="Q1038" s="91"/>
      <c r="R1038" s="91"/>
      <c r="S1038" s="91"/>
      <c r="T1038" s="91"/>
      <c r="U1038" s="91"/>
      <c r="V1038" s="91"/>
      <c r="W1038" s="91"/>
      <c r="X1038" s="91"/>
      <c r="Y1038" s="91"/>
      <c r="Z1038" s="91"/>
      <c r="AA1038" s="91"/>
      <c r="AB1038" s="91"/>
    </row>
    <row r="1039" ht="15.75" customHeight="1">
      <c r="A1039" s="91"/>
      <c r="B1039" s="91"/>
      <c r="C1039" s="91"/>
      <c r="D1039" s="91"/>
      <c r="E1039" s="91"/>
      <c r="F1039" s="91"/>
      <c r="G1039" s="91"/>
      <c r="H1039" s="91"/>
      <c r="I1039" s="91"/>
      <c r="J1039" s="91"/>
      <c r="K1039" s="91"/>
      <c r="L1039" s="91"/>
      <c r="M1039" s="91"/>
      <c r="N1039" s="91"/>
      <c r="O1039" s="91"/>
      <c r="P1039" s="91"/>
      <c r="Q1039" s="91"/>
      <c r="R1039" s="91"/>
      <c r="S1039" s="91"/>
      <c r="T1039" s="91"/>
      <c r="U1039" s="91"/>
      <c r="V1039" s="91"/>
      <c r="W1039" s="91"/>
      <c r="X1039" s="91"/>
      <c r="Y1039" s="91"/>
      <c r="Z1039" s="91"/>
      <c r="AA1039" s="91"/>
      <c r="AB1039" s="91"/>
    </row>
    <row r="1040" ht="15.75" customHeight="1">
      <c r="A1040" s="91"/>
      <c r="B1040" s="91"/>
      <c r="C1040" s="91"/>
      <c r="D1040" s="91"/>
      <c r="E1040" s="91"/>
      <c r="F1040" s="91"/>
      <c r="G1040" s="91"/>
      <c r="H1040" s="91"/>
      <c r="I1040" s="91"/>
      <c r="J1040" s="91"/>
      <c r="K1040" s="91"/>
      <c r="L1040" s="91"/>
      <c r="M1040" s="91"/>
      <c r="N1040" s="91"/>
      <c r="O1040" s="91"/>
      <c r="P1040" s="91"/>
      <c r="Q1040" s="91"/>
      <c r="R1040" s="91"/>
      <c r="S1040" s="91"/>
      <c r="T1040" s="91"/>
      <c r="U1040" s="91"/>
      <c r="V1040" s="91"/>
      <c r="W1040" s="91"/>
      <c r="X1040" s="91"/>
      <c r="Y1040" s="91"/>
      <c r="Z1040" s="91"/>
      <c r="AA1040" s="91"/>
      <c r="AB1040" s="91"/>
    </row>
    <row r="1041" ht="15.75" customHeight="1">
      <c r="A1041" s="91"/>
      <c r="B1041" s="91"/>
      <c r="C1041" s="91"/>
      <c r="D1041" s="91"/>
      <c r="E1041" s="91"/>
      <c r="F1041" s="91"/>
      <c r="G1041" s="91"/>
      <c r="H1041" s="91"/>
      <c r="I1041" s="91"/>
      <c r="J1041" s="91"/>
      <c r="K1041" s="91"/>
      <c r="L1041" s="91"/>
      <c r="M1041" s="91"/>
      <c r="N1041" s="91"/>
      <c r="O1041" s="91"/>
      <c r="P1041" s="91"/>
      <c r="Q1041" s="91"/>
      <c r="R1041" s="91"/>
      <c r="S1041" s="91"/>
      <c r="T1041" s="91"/>
      <c r="U1041" s="91"/>
      <c r="V1041" s="91"/>
      <c r="W1041" s="91"/>
      <c r="X1041" s="91"/>
      <c r="Y1041" s="91"/>
      <c r="Z1041" s="91"/>
      <c r="AA1041" s="91"/>
      <c r="AB1041" s="91"/>
    </row>
    <row r="1042" ht="15.75" customHeight="1">
      <c r="A1042" s="91"/>
      <c r="B1042" s="91"/>
      <c r="C1042" s="91"/>
      <c r="D1042" s="91"/>
      <c r="E1042" s="91"/>
      <c r="F1042" s="91"/>
      <c r="G1042" s="91"/>
      <c r="H1042" s="91"/>
      <c r="I1042" s="91"/>
      <c r="J1042" s="91"/>
      <c r="K1042" s="91"/>
      <c r="L1042" s="91"/>
      <c r="M1042" s="91"/>
      <c r="N1042" s="91"/>
      <c r="O1042" s="91"/>
      <c r="P1042" s="91"/>
      <c r="Q1042" s="91"/>
      <c r="R1042" s="91"/>
      <c r="S1042" s="91"/>
      <c r="T1042" s="91"/>
      <c r="U1042" s="91"/>
      <c r="V1042" s="91"/>
      <c r="W1042" s="91"/>
      <c r="X1042" s="91"/>
      <c r="Y1042" s="91"/>
      <c r="Z1042" s="91"/>
      <c r="AA1042" s="91"/>
      <c r="AB1042" s="91"/>
    </row>
    <row r="1043" ht="15.75" customHeight="1">
      <c r="A1043" s="91"/>
      <c r="B1043" s="91"/>
      <c r="C1043" s="91"/>
      <c r="D1043" s="91"/>
      <c r="E1043" s="91"/>
      <c r="F1043" s="91"/>
      <c r="G1043" s="91"/>
      <c r="H1043" s="91"/>
      <c r="I1043" s="91"/>
      <c r="J1043" s="91"/>
      <c r="K1043" s="91"/>
      <c r="L1043" s="91"/>
      <c r="M1043" s="91"/>
      <c r="N1043" s="91"/>
      <c r="O1043" s="91"/>
      <c r="P1043" s="91"/>
      <c r="Q1043" s="91"/>
      <c r="R1043" s="91"/>
      <c r="S1043" s="91"/>
      <c r="T1043" s="91"/>
      <c r="U1043" s="91"/>
      <c r="V1043" s="91"/>
      <c r="W1043" s="91"/>
      <c r="X1043" s="91"/>
      <c r="Y1043" s="91"/>
      <c r="Z1043" s="91"/>
      <c r="AA1043" s="91"/>
      <c r="AB1043" s="91"/>
    </row>
    <row r="1044" ht="15.75" customHeight="1">
      <c r="A1044" s="91"/>
      <c r="B1044" s="91"/>
      <c r="C1044" s="91"/>
      <c r="D1044" s="91"/>
      <c r="E1044" s="91"/>
      <c r="F1044" s="91"/>
      <c r="G1044" s="91"/>
      <c r="H1044" s="91"/>
      <c r="I1044" s="91"/>
      <c r="J1044" s="91"/>
      <c r="K1044" s="91"/>
      <c r="L1044" s="91"/>
      <c r="M1044" s="91"/>
      <c r="N1044" s="91"/>
      <c r="O1044" s="91"/>
      <c r="P1044" s="91"/>
      <c r="Q1044" s="91"/>
      <c r="R1044" s="91"/>
      <c r="S1044" s="91"/>
      <c r="T1044" s="91"/>
      <c r="U1044" s="91"/>
      <c r="V1044" s="91"/>
      <c r="W1044" s="91"/>
      <c r="X1044" s="91"/>
      <c r="Y1044" s="91"/>
      <c r="Z1044" s="91"/>
      <c r="AA1044" s="91"/>
      <c r="AB1044" s="91"/>
    </row>
    <row r="1045" ht="15.75" customHeight="1">
      <c r="A1045" s="91"/>
      <c r="B1045" s="91"/>
      <c r="C1045" s="91"/>
      <c r="D1045" s="91"/>
      <c r="E1045" s="91"/>
      <c r="F1045" s="91"/>
      <c r="G1045" s="91"/>
      <c r="H1045" s="91"/>
      <c r="I1045" s="91"/>
      <c r="J1045" s="91"/>
      <c r="K1045" s="91"/>
      <c r="L1045" s="91"/>
      <c r="M1045" s="91"/>
      <c r="N1045" s="91"/>
      <c r="O1045" s="91"/>
      <c r="P1045" s="91"/>
      <c r="Q1045" s="91"/>
      <c r="R1045" s="91"/>
      <c r="S1045" s="91"/>
      <c r="T1045" s="91"/>
      <c r="U1045" s="91"/>
      <c r="V1045" s="91"/>
      <c r="W1045" s="91"/>
      <c r="X1045" s="91"/>
      <c r="Y1045" s="91"/>
      <c r="Z1045" s="91"/>
      <c r="AA1045" s="91"/>
      <c r="AB1045" s="91"/>
    </row>
    <row r="1046" ht="15.75" customHeight="1">
      <c r="A1046" s="91"/>
      <c r="B1046" s="91"/>
      <c r="C1046" s="91"/>
      <c r="D1046" s="91"/>
      <c r="E1046" s="91"/>
      <c r="F1046" s="91"/>
      <c r="G1046" s="91"/>
      <c r="H1046" s="91"/>
      <c r="I1046" s="91"/>
      <c r="J1046" s="91"/>
      <c r="K1046" s="91"/>
      <c r="L1046" s="91"/>
      <c r="M1046" s="91"/>
      <c r="N1046" s="91"/>
      <c r="O1046" s="91"/>
      <c r="P1046" s="91"/>
      <c r="Q1046" s="91"/>
      <c r="R1046" s="91"/>
      <c r="S1046" s="91"/>
      <c r="T1046" s="91"/>
      <c r="U1046" s="91"/>
      <c r="V1046" s="91"/>
      <c r="W1046" s="91"/>
      <c r="X1046" s="91"/>
      <c r="Y1046" s="91"/>
      <c r="Z1046" s="91"/>
      <c r="AA1046" s="91"/>
      <c r="AB1046" s="91"/>
    </row>
    <row r="1047" ht="15.75" customHeight="1">
      <c r="A1047" s="91"/>
      <c r="B1047" s="91"/>
      <c r="C1047" s="91"/>
      <c r="D1047" s="91"/>
      <c r="E1047" s="91"/>
      <c r="F1047" s="91"/>
      <c r="G1047" s="91"/>
      <c r="H1047" s="91"/>
      <c r="I1047" s="91"/>
      <c r="J1047" s="91"/>
      <c r="K1047" s="91"/>
      <c r="L1047" s="91"/>
      <c r="M1047" s="91"/>
      <c r="N1047" s="91"/>
      <c r="O1047" s="91"/>
      <c r="P1047" s="91"/>
      <c r="Q1047" s="91"/>
      <c r="R1047" s="91"/>
      <c r="S1047" s="91"/>
      <c r="T1047" s="91"/>
      <c r="U1047" s="91"/>
      <c r="V1047" s="91"/>
      <c r="W1047" s="91"/>
      <c r="X1047" s="91"/>
      <c r="Y1047" s="91"/>
      <c r="Z1047" s="91"/>
      <c r="AA1047" s="91"/>
      <c r="AB1047" s="91"/>
    </row>
    <row r="1048" ht="15.75" customHeight="1">
      <c r="A1048" s="91"/>
      <c r="B1048" s="91"/>
      <c r="C1048" s="91"/>
      <c r="D1048" s="91"/>
      <c r="E1048" s="91"/>
      <c r="F1048" s="91"/>
      <c r="G1048" s="91"/>
      <c r="H1048" s="91"/>
      <c r="I1048" s="91"/>
      <c r="J1048" s="91"/>
      <c r="K1048" s="91"/>
      <c r="L1048" s="91"/>
      <c r="M1048" s="91"/>
      <c r="N1048" s="91"/>
      <c r="O1048" s="91"/>
      <c r="P1048" s="91"/>
      <c r="Q1048" s="91"/>
      <c r="R1048" s="91"/>
      <c r="S1048" s="91"/>
      <c r="T1048" s="91"/>
      <c r="U1048" s="91"/>
      <c r="V1048" s="91"/>
      <c r="W1048" s="91"/>
      <c r="X1048" s="91"/>
      <c r="Y1048" s="91"/>
      <c r="Z1048" s="91"/>
      <c r="AA1048" s="91"/>
      <c r="AB1048" s="91"/>
    </row>
    <row r="1049" ht="15.75" customHeight="1">
      <c r="A1049" s="91"/>
      <c r="B1049" s="91"/>
      <c r="C1049" s="91"/>
      <c r="D1049" s="91"/>
      <c r="E1049" s="91"/>
      <c r="F1049" s="91"/>
      <c r="G1049" s="91"/>
      <c r="H1049" s="91"/>
      <c r="I1049" s="91"/>
      <c r="J1049" s="91"/>
      <c r="K1049" s="91"/>
      <c r="L1049" s="91"/>
      <c r="M1049" s="91"/>
      <c r="N1049" s="91"/>
      <c r="O1049" s="91"/>
      <c r="P1049" s="91"/>
      <c r="Q1049" s="91"/>
      <c r="R1049" s="91"/>
      <c r="S1049" s="91"/>
      <c r="T1049" s="91"/>
      <c r="U1049" s="91"/>
      <c r="V1049" s="91"/>
      <c r="W1049" s="91"/>
      <c r="X1049" s="91"/>
      <c r="Y1049" s="91"/>
      <c r="Z1049" s="91"/>
      <c r="AA1049" s="91"/>
      <c r="AB1049" s="91"/>
    </row>
    <row r="1050" ht="15.75" customHeight="1">
      <c r="A1050" s="91"/>
      <c r="B1050" s="91"/>
      <c r="C1050" s="91"/>
      <c r="D1050" s="91"/>
      <c r="E1050" s="91"/>
      <c r="F1050" s="91"/>
      <c r="G1050" s="91"/>
      <c r="H1050" s="91"/>
      <c r="I1050" s="91"/>
      <c r="J1050" s="91"/>
      <c r="K1050" s="91"/>
      <c r="L1050" s="91"/>
      <c r="M1050" s="91"/>
      <c r="N1050" s="91"/>
      <c r="O1050" s="91"/>
      <c r="P1050" s="91"/>
      <c r="Q1050" s="91"/>
      <c r="R1050" s="91"/>
      <c r="S1050" s="91"/>
      <c r="T1050" s="91"/>
      <c r="U1050" s="91"/>
      <c r="V1050" s="91"/>
      <c r="W1050" s="91"/>
      <c r="X1050" s="91"/>
      <c r="Y1050" s="91"/>
      <c r="Z1050" s="91"/>
      <c r="AA1050" s="91"/>
      <c r="AB1050" s="91"/>
    </row>
    <row r="1051" ht="15.75" customHeight="1">
      <c r="A1051" s="91"/>
      <c r="B1051" s="91"/>
      <c r="C1051" s="91"/>
      <c r="D1051" s="91"/>
      <c r="E1051" s="91"/>
      <c r="F1051" s="91"/>
      <c r="G1051" s="91"/>
      <c r="H1051" s="91"/>
      <c r="I1051" s="91"/>
      <c r="J1051" s="91"/>
      <c r="K1051" s="91"/>
      <c r="L1051" s="91"/>
      <c r="M1051" s="91"/>
      <c r="N1051" s="91"/>
      <c r="O1051" s="91"/>
      <c r="P1051" s="91"/>
      <c r="Q1051" s="91"/>
      <c r="R1051" s="91"/>
      <c r="S1051" s="91"/>
      <c r="T1051" s="91"/>
      <c r="U1051" s="91"/>
      <c r="V1051" s="91"/>
      <c r="W1051" s="91"/>
      <c r="X1051" s="91"/>
      <c r="Y1051" s="91"/>
      <c r="Z1051" s="91"/>
      <c r="AA1051" s="91"/>
      <c r="AB1051" s="91"/>
    </row>
    <row r="1052" ht="15.75" customHeight="1">
      <c r="A1052" s="91"/>
      <c r="B1052" s="91"/>
      <c r="C1052" s="91"/>
      <c r="D1052" s="91"/>
      <c r="E1052" s="91"/>
      <c r="F1052" s="91"/>
      <c r="G1052" s="91"/>
      <c r="H1052" s="91"/>
      <c r="I1052" s="91"/>
      <c r="J1052" s="91"/>
      <c r="K1052" s="91"/>
      <c r="L1052" s="91"/>
      <c r="M1052" s="91"/>
      <c r="N1052" s="91"/>
      <c r="O1052" s="91"/>
      <c r="P1052" s="91"/>
      <c r="Q1052" s="91"/>
      <c r="R1052" s="91"/>
      <c r="S1052" s="91"/>
      <c r="T1052" s="91"/>
      <c r="U1052" s="91"/>
      <c r="V1052" s="91"/>
      <c r="W1052" s="91"/>
      <c r="X1052" s="91"/>
      <c r="Y1052" s="91"/>
      <c r="Z1052" s="91"/>
      <c r="AA1052" s="91"/>
      <c r="AB1052" s="91"/>
    </row>
    <row r="1053" ht="15.75" customHeight="1">
      <c r="A1053" s="91"/>
      <c r="B1053" s="91"/>
      <c r="C1053" s="91"/>
      <c r="D1053" s="91"/>
      <c r="E1053" s="91"/>
      <c r="F1053" s="91"/>
      <c r="G1053" s="91"/>
      <c r="H1053" s="91"/>
      <c r="I1053" s="91"/>
      <c r="J1053" s="91"/>
      <c r="K1053" s="91"/>
      <c r="L1053" s="91"/>
      <c r="M1053" s="91"/>
      <c r="N1053" s="91"/>
      <c r="O1053" s="91"/>
      <c r="P1053" s="91"/>
      <c r="Q1053" s="91"/>
      <c r="R1053" s="91"/>
      <c r="S1053" s="91"/>
      <c r="T1053" s="91"/>
      <c r="U1053" s="91"/>
      <c r="V1053" s="91"/>
      <c r="W1053" s="91"/>
      <c r="X1053" s="91"/>
      <c r="Y1053" s="91"/>
      <c r="Z1053" s="91"/>
      <c r="AA1053" s="91"/>
      <c r="AB1053" s="91"/>
    </row>
    <row r="1054" ht="15.75" customHeight="1">
      <c r="A1054" s="91"/>
      <c r="B1054" s="91"/>
      <c r="C1054" s="91"/>
      <c r="D1054" s="91"/>
      <c r="E1054" s="91"/>
      <c r="F1054" s="91"/>
      <c r="G1054" s="91"/>
      <c r="H1054" s="91"/>
      <c r="I1054" s="91"/>
      <c r="J1054" s="91"/>
      <c r="K1054" s="91"/>
      <c r="L1054" s="91"/>
      <c r="M1054" s="91"/>
      <c r="N1054" s="91"/>
      <c r="O1054" s="91"/>
      <c r="P1054" s="91"/>
      <c r="Q1054" s="91"/>
      <c r="R1054" s="91"/>
      <c r="S1054" s="91"/>
      <c r="T1054" s="91"/>
      <c r="U1054" s="91"/>
      <c r="V1054" s="91"/>
      <c r="W1054" s="91"/>
      <c r="X1054" s="91"/>
      <c r="Y1054" s="91"/>
      <c r="Z1054" s="91"/>
      <c r="AA1054" s="91"/>
      <c r="AB1054" s="91"/>
    </row>
    <row r="1055" ht="15.75" customHeight="1">
      <c r="A1055" s="91"/>
      <c r="B1055" s="91"/>
      <c r="C1055" s="91"/>
      <c r="D1055" s="91"/>
      <c r="E1055" s="91"/>
      <c r="F1055" s="91"/>
      <c r="G1055" s="91"/>
      <c r="H1055" s="91"/>
      <c r="I1055" s="91"/>
      <c r="J1055" s="91"/>
      <c r="K1055" s="91"/>
      <c r="L1055" s="91"/>
      <c r="M1055" s="91"/>
      <c r="N1055" s="91"/>
      <c r="O1055" s="91"/>
      <c r="P1055" s="91"/>
      <c r="Q1055" s="91"/>
      <c r="R1055" s="91"/>
      <c r="S1055" s="91"/>
      <c r="T1055" s="91"/>
      <c r="U1055" s="91"/>
      <c r="V1055" s="91"/>
      <c r="W1055" s="91"/>
      <c r="X1055" s="91"/>
      <c r="Y1055" s="91"/>
      <c r="Z1055" s="91"/>
      <c r="AA1055" s="91"/>
      <c r="AB1055" s="91"/>
    </row>
    <row r="1056" ht="15.75" customHeight="1">
      <c r="A1056" s="91"/>
      <c r="B1056" s="91"/>
      <c r="C1056" s="91"/>
      <c r="D1056" s="91"/>
      <c r="E1056" s="91"/>
      <c r="F1056" s="91"/>
      <c r="G1056" s="91"/>
      <c r="H1056" s="91"/>
      <c r="I1056" s="91"/>
      <c r="J1056" s="91"/>
      <c r="K1056" s="91"/>
      <c r="L1056" s="91"/>
      <c r="M1056" s="91"/>
      <c r="N1056" s="91"/>
      <c r="O1056" s="91"/>
      <c r="P1056" s="91"/>
      <c r="Q1056" s="91"/>
      <c r="R1056" s="91"/>
      <c r="S1056" s="91"/>
      <c r="T1056" s="91"/>
      <c r="U1056" s="91"/>
      <c r="V1056" s="91"/>
      <c r="W1056" s="91"/>
      <c r="X1056" s="91"/>
      <c r="Y1056" s="91"/>
      <c r="Z1056" s="91"/>
      <c r="AA1056" s="91"/>
      <c r="AB1056" s="91"/>
    </row>
    <row r="1057" ht="15.75" customHeight="1">
      <c r="A1057" s="91"/>
      <c r="B1057" s="91"/>
      <c r="C1057" s="91"/>
      <c r="D1057" s="91"/>
      <c r="E1057" s="91"/>
      <c r="F1057" s="91"/>
      <c r="G1057" s="91"/>
      <c r="H1057" s="91"/>
      <c r="I1057" s="91"/>
      <c r="J1057" s="91"/>
      <c r="K1057" s="91"/>
      <c r="L1057" s="91"/>
      <c r="M1057" s="91"/>
      <c r="N1057" s="91"/>
      <c r="O1057" s="91"/>
      <c r="P1057" s="91"/>
      <c r="Q1057" s="91"/>
      <c r="R1057" s="91"/>
      <c r="S1057" s="91"/>
      <c r="T1057" s="91"/>
      <c r="U1057" s="91"/>
      <c r="V1057" s="91"/>
      <c r="W1057" s="91"/>
      <c r="X1057" s="91"/>
      <c r="Y1057" s="91"/>
      <c r="Z1057" s="91"/>
      <c r="AA1057" s="91"/>
      <c r="AB1057" s="91"/>
    </row>
    <row r="1058" ht="15.75" customHeight="1">
      <c r="A1058" s="91"/>
      <c r="B1058" s="91"/>
      <c r="C1058" s="91"/>
      <c r="D1058" s="91"/>
      <c r="E1058" s="91"/>
      <c r="F1058" s="91"/>
      <c r="G1058" s="91"/>
      <c r="H1058" s="91"/>
      <c r="I1058" s="91"/>
      <c r="J1058" s="91"/>
      <c r="K1058" s="91"/>
      <c r="L1058" s="91"/>
      <c r="M1058" s="91"/>
      <c r="N1058" s="91"/>
      <c r="O1058" s="91"/>
      <c r="P1058" s="91"/>
      <c r="Q1058" s="91"/>
      <c r="R1058" s="91"/>
      <c r="S1058" s="91"/>
      <c r="T1058" s="91"/>
      <c r="U1058" s="91"/>
      <c r="V1058" s="91"/>
      <c r="W1058" s="91"/>
      <c r="X1058" s="91"/>
      <c r="Y1058" s="91"/>
      <c r="Z1058" s="91"/>
      <c r="AA1058" s="91"/>
      <c r="AB1058" s="91"/>
    </row>
    <row r="1059" ht="15.75" customHeight="1">
      <c r="A1059" s="91"/>
      <c r="B1059" s="91"/>
      <c r="C1059" s="91"/>
      <c r="D1059" s="91"/>
      <c r="E1059" s="91"/>
      <c r="F1059" s="91"/>
      <c r="G1059" s="91"/>
      <c r="H1059" s="91"/>
      <c r="I1059" s="91"/>
      <c r="J1059" s="91"/>
      <c r="K1059" s="91"/>
      <c r="L1059" s="91"/>
      <c r="M1059" s="91"/>
      <c r="N1059" s="91"/>
      <c r="O1059" s="91"/>
      <c r="P1059" s="91"/>
      <c r="Q1059" s="91"/>
      <c r="R1059" s="91"/>
      <c r="S1059" s="91"/>
      <c r="T1059" s="91"/>
      <c r="U1059" s="91"/>
      <c r="V1059" s="91"/>
      <c r="W1059" s="91"/>
      <c r="X1059" s="91"/>
      <c r="Y1059" s="91"/>
      <c r="Z1059" s="91"/>
      <c r="AA1059" s="91"/>
      <c r="AB1059" s="91"/>
    </row>
    <row r="1060" ht="15.75" customHeight="1">
      <c r="A1060" s="91"/>
      <c r="B1060" s="91"/>
      <c r="C1060" s="91"/>
      <c r="D1060" s="91"/>
      <c r="E1060" s="91"/>
      <c r="F1060" s="91"/>
      <c r="G1060" s="91"/>
      <c r="H1060" s="91"/>
      <c r="I1060" s="91"/>
      <c r="J1060" s="91"/>
      <c r="K1060" s="91"/>
      <c r="L1060" s="91"/>
      <c r="M1060" s="91"/>
      <c r="N1060" s="91"/>
      <c r="O1060" s="91"/>
      <c r="P1060" s="91"/>
      <c r="Q1060" s="91"/>
      <c r="R1060" s="91"/>
      <c r="S1060" s="91"/>
      <c r="T1060" s="91"/>
      <c r="U1060" s="91"/>
      <c r="V1060" s="91"/>
      <c r="W1060" s="91"/>
      <c r="X1060" s="91"/>
      <c r="Y1060" s="91"/>
      <c r="Z1060" s="91"/>
      <c r="AA1060" s="91"/>
      <c r="AB1060" s="91"/>
    </row>
    <row r="1061" ht="15.75" customHeight="1">
      <c r="A1061" s="91"/>
      <c r="B1061" s="91"/>
      <c r="C1061" s="91"/>
      <c r="D1061" s="91"/>
      <c r="E1061" s="91"/>
      <c r="F1061" s="91"/>
      <c r="G1061" s="91"/>
      <c r="H1061" s="91"/>
      <c r="I1061" s="91"/>
      <c r="J1061" s="91"/>
      <c r="K1061" s="91"/>
      <c r="L1061" s="91"/>
      <c r="M1061" s="91"/>
      <c r="N1061" s="91"/>
      <c r="O1061" s="91"/>
      <c r="P1061" s="91"/>
      <c r="Q1061" s="91"/>
      <c r="R1061" s="91"/>
      <c r="S1061" s="91"/>
      <c r="T1061" s="91"/>
      <c r="U1061" s="91"/>
      <c r="V1061" s="91"/>
      <c r="W1061" s="91"/>
      <c r="X1061" s="91"/>
      <c r="Y1061" s="91"/>
      <c r="Z1061" s="91"/>
      <c r="AA1061" s="91"/>
      <c r="AB1061" s="91"/>
    </row>
    <row r="1062" ht="15.75" customHeight="1">
      <c r="A1062" s="91"/>
      <c r="B1062" s="91"/>
      <c r="C1062" s="91"/>
      <c r="D1062" s="91"/>
      <c r="E1062" s="91"/>
      <c r="F1062" s="91"/>
      <c r="G1062" s="91"/>
      <c r="H1062" s="91"/>
      <c r="I1062" s="91"/>
      <c r="J1062" s="91"/>
      <c r="K1062" s="91"/>
      <c r="L1062" s="91"/>
      <c r="M1062" s="91"/>
      <c r="N1062" s="91"/>
      <c r="O1062" s="91"/>
      <c r="P1062" s="91"/>
      <c r="Q1062" s="91"/>
      <c r="R1062" s="91"/>
      <c r="S1062" s="91"/>
      <c r="T1062" s="91"/>
      <c r="U1062" s="91"/>
      <c r="V1062" s="91"/>
      <c r="W1062" s="91"/>
      <c r="X1062" s="91"/>
      <c r="Y1062" s="91"/>
      <c r="Z1062" s="91"/>
      <c r="AA1062" s="91"/>
      <c r="AB1062" s="91"/>
    </row>
    <row r="1063" ht="15.75" customHeight="1">
      <c r="A1063" s="91"/>
      <c r="B1063" s="91"/>
      <c r="C1063" s="91"/>
      <c r="D1063" s="91"/>
      <c r="E1063" s="91"/>
      <c r="F1063" s="91"/>
      <c r="G1063" s="91"/>
      <c r="H1063" s="91"/>
      <c r="I1063" s="91"/>
      <c r="J1063" s="91"/>
      <c r="K1063" s="91"/>
      <c r="L1063" s="91"/>
      <c r="M1063" s="91"/>
      <c r="N1063" s="91"/>
      <c r="O1063" s="91"/>
      <c r="P1063" s="91"/>
      <c r="Q1063" s="91"/>
      <c r="R1063" s="91"/>
      <c r="S1063" s="91"/>
      <c r="T1063" s="91"/>
      <c r="U1063" s="91"/>
      <c r="V1063" s="91"/>
      <c r="W1063" s="91"/>
      <c r="X1063" s="91"/>
      <c r="Y1063" s="91"/>
      <c r="Z1063" s="91"/>
      <c r="AA1063" s="91"/>
      <c r="AB1063" s="91"/>
    </row>
    <row r="1064" ht="15.75" customHeight="1">
      <c r="A1064" s="91"/>
      <c r="B1064" s="91"/>
      <c r="C1064" s="91"/>
      <c r="D1064" s="91"/>
      <c r="E1064" s="91"/>
      <c r="F1064" s="91"/>
      <c r="G1064" s="91"/>
      <c r="H1064" s="91"/>
      <c r="I1064" s="91"/>
      <c r="J1064" s="91"/>
      <c r="K1064" s="91"/>
      <c r="L1064" s="91"/>
      <c r="M1064" s="91"/>
      <c r="N1064" s="91"/>
      <c r="O1064" s="91"/>
      <c r="P1064" s="91"/>
      <c r="Q1064" s="91"/>
      <c r="R1064" s="91"/>
      <c r="S1064" s="91"/>
      <c r="T1064" s="91"/>
      <c r="U1064" s="91"/>
      <c r="V1064" s="91"/>
      <c r="W1064" s="91"/>
      <c r="X1064" s="91"/>
      <c r="Y1064" s="91"/>
      <c r="Z1064" s="91"/>
      <c r="AA1064" s="91"/>
      <c r="AB1064" s="91"/>
    </row>
    <row r="1065" ht="15.75" customHeight="1">
      <c r="A1065" s="91"/>
      <c r="B1065" s="91"/>
      <c r="C1065" s="91"/>
      <c r="D1065" s="91"/>
      <c r="E1065" s="91"/>
      <c r="F1065" s="91"/>
      <c r="G1065" s="91"/>
      <c r="H1065" s="91"/>
      <c r="I1065" s="91"/>
      <c r="J1065" s="91"/>
      <c r="K1065" s="91"/>
      <c r="L1065" s="91"/>
      <c r="M1065" s="91"/>
      <c r="N1065" s="91"/>
      <c r="O1065" s="91"/>
      <c r="P1065" s="91"/>
      <c r="Q1065" s="91"/>
      <c r="R1065" s="91"/>
      <c r="S1065" s="91"/>
      <c r="T1065" s="91"/>
      <c r="U1065" s="91"/>
      <c r="V1065" s="91"/>
      <c r="W1065" s="91"/>
      <c r="X1065" s="91"/>
      <c r="Y1065" s="91"/>
      <c r="Z1065" s="91"/>
      <c r="AA1065" s="91"/>
      <c r="AB1065" s="91"/>
    </row>
    <row r="1066" ht="15.75" customHeight="1">
      <c r="A1066" s="91"/>
      <c r="B1066" s="91"/>
      <c r="C1066" s="91"/>
      <c r="D1066" s="91"/>
      <c r="E1066" s="91"/>
      <c r="F1066" s="91"/>
      <c r="G1066" s="91"/>
      <c r="H1066" s="91"/>
      <c r="I1066" s="91"/>
      <c r="J1066" s="91"/>
      <c r="K1066" s="91"/>
      <c r="L1066" s="91"/>
      <c r="M1066" s="91"/>
      <c r="N1066" s="91"/>
      <c r="O1066" s="91"/>
      <c r="P1066" s="91"/>
      <c r="Q1066" s="91"/>
      <c r="R1066" s="91"/>
      <c r="S1066" s="91"/>
      <c r="T1066" s="91"/>
      <c r="U1066" s="91"/>
      <c r="V1066" s="91"/>
      <c r="W1066" s="91"/>
      <c r="X1066" s="91"/>
      <c r="Y1066" s="91"/>
      <c r="Z1066" s="91"/>
      <c r="AA1066" s="91"/>
      <c r="AB1066" s="91"/>
    </row>
    <row r="1067" ht="15.75" customHeight="1">
      <c r="A1067" s="91"/>
      <c r="B1067" s="91"/>
      <c r="C1067" s="91"/>
      <c r="D1067" s="91"/>
      <c r="E1067" s="91"/>
      <c r="F1067" s="91"/>
      <c r="G1067" s="91"/>
      <c r="H1067" s="91"/>
      <c r="I1067" s="91"/>
      <c r="J1067" s="91"/>
      <c r="K1067" s="91"/>
      <c r="L1067" s="91"/>
      <c r="M1067" s="91"/>
      <c r="N1067" s="91"/>
      <c r="O1067" s="91"/>
      <c r="P1067" s="91"/>
      <c r="Q1067" s="91"/>
      <c r="R1067" s="91"/>
      <c r="S1067" s="91"/>
      <c r="T1067" s="91"/>
      <c r="U1067" s="91"/>
      <c r="V1067" s="91"/>
      <c r="W1067" s="91"/>
      <c r="X1067" s="91"/>
      <c r="Y1067" s="91"/>
      <c r="Z1067" s="91"/>
      <c r="AA1067" s="91"/>
      <c r="AB1067" s="91"/>
    </row>
    <row r="1068" ht="15.75" customHeight="1">
      <c r="A1068" s="91"/>
      <c r="B1068" s="91"/>
      <c r="C1068" s="91"/>
      <c r="D1068" s="91"/>
      <c r="E1068" s="91"/>
      <c r="F1068" s="91"/>
      <c r="G1068" s="91"/>
      <c r="H1068" s="91"/>
      <c r="I1068" s="91"/>
      <c r="J1068" s="91"/>
      <c r="K1068" s="91"/>
      <c r="L1068" s="91"/>
      <c r="M1068" s="91"/>
      <c r="N1068" s="91"/>
      <c r="O1068" s="91"/>
      <c r="P1068" s="91"/>
      <c r="Q1068" s="91"/>
      <c r="R1068" s="91"/>
      <c r="S1068" s="91"/>
      <c r="T1068" s="91"/>
      <c r="U1068" s="91"/>
      <c r="V1068" s="91"/>
      <c r="W1068" s="91"/>
      <c r="X1068" s="91"/>
      <c r="Y1068" s="91"/>
      <c r="Z1068" s="91"/>
      <c r="AA1068" s="91"/>
      <c r="AB1068" s="91"/>
    </row>
    <row r="1069" ht="15.75" customHeight="1">
      <c r="A1069" s="91"/>
      <c r="B1069" s="91"/>
      <c r="C1069" s="91"/>
      <c r="D1069" s="91"/>
      <c r="E1069" s="91"/>
      <c r="F1069" s="91"/>
      <c r="G1069" s="91"/>
      <c r="H1069" s="91"/>
      <c r="I1069" s="91"/>
      <c r="J1069" s="91"/>
      <c r="K1069" s="91"/>
      <c r="L1069" s="91"/>
      <c r="M1069" s="91"/>
      <c r="N1069" s="91"/>
      <c r="O1069" s="91"/>
      <c r="P1069" s="91"/>
      <c r="Q1069" s="91"/>
      <c r="R1069" s="91"/>
      <c r="S1069" s="91"/>
      <c r="T1069" s="91"/>
      <c r="U1069" s="91"/>
      <c r="V1069" s="91"/>
      <c r="W1069" s="91"/>
      <c r="X1069" s="91"/>
      <c r="Y1069" s="91"/>
      <c r="Z1069" s="91"/>
      <c r="AA1069" s="91"/>
      <c r="AB1069" s="91"/>
    </row>
    <row r="1070" ht="15.75" customHeight="1">
      <c r="A1070" s="91"/>
      <c r="B1070" s="91"/>
      <c r="C1070" s="91"/>
      <c r="D1070" s="91"/>
      <c r="E1070" s="91"/>
      <c r="F1070" s="91"/>
      <c r="G1070" s="91"/>
      <c r="H1070" s="91"/>
      <c r="I1070" s="91"/>
      <c r="J1070" s="91"/>
      <c r="K1070" s="91"/>
      <c r="L1070" s="91"/>
      <c r="M1070" s="91"/>
      <c r="N1070" s="91"/>
      <c r="O1070" s="91"/>
      <c r="P1070" s="91"/>
      <c r="Q1070" s="91"/>
      <c r="R1070" s="91"/>
      <c r="S1070" s="91"/>
      <c r="T1070" s="91"/>
      <c r="U1070" s="91"/>
      <c r="V1070" s="91"/>
      <c r="W1070" s="91"/>
      <c r="X1070" s="91"/>
      <c r="Y1070" s="91"/>
      <c r="Z1070" s="91"/>
      <c r="AA1070" s="91"/>
      <c r="AB1070" s="91"/>
    </row>
    <row r="1071" ht="15.75" customHeight="1">
      <c r="A1071" s="91"/>
      <c r="B1071" s="91"/>
      <c r="C1071" s="91"/>
      <c r="D1071" s="91"/>
      <c r="E1071" s="91"/>
      <c r="F1071" s="91"/>
      <c r="G1071" s="91"/>
      <c r="H1071" s="91"/>
      <c r="I1071" s="91"/>
      <c r="J1071" s="91"/>
      <c r="K1071" s="91"/>
      <c r="L1071" s="91"/>
      <c r="M1071" s="91"/>
      <c r="N1071" s="91"/>
      <c r="O1071" s="91"/>
      <c r="P1071" s="91"/>
      <c r="Q1071" s="91"/>
      <c r="R1071" s="91"/>
      <c r="S1071" s="91"/>
      <c r="T1071" s="91"/>
      <c r="U1071" s="91"/>
      <c r="V1071" s="91"/>
      <c r="W1071" s="91"/>
      <c r="X1071" s="91"/>
      <c r="Y1071" s="91"/>
      <c r="Z1071" s="91"/>
      <c r="AA1071" s="91"/>
      <c r="AB1071"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38"/>
    <col customWidth="1" min="2" max="2" width="10.13"/>
    <col customWidth="1" min="3" max="3" width="16.13"/>
    <col customWidth="1" min="4" max="4" width="5.75"/>
    <col customWidth="1" min="5" max="5" width="5.5"/>
    <col customWidth="1" min="6" max="6" width="125.75"/>
    <col customWidth="1" min="7" max="26" width="15.13"/>
  </cols>
  <sheetData>
    <row r="1" ht="15.75" customHeight="1">
      <c r="A1" s="139">
        <f>SUM(A3:A75)</f>
        <v>754</v>
      </c>
      <c r="B1" s="140" t="s">
        <v>925</v>
      </c>
      <c r="C1" s="139">
        <f>SUM(E3:E75)</f>
        <v>139</v>
      </c>
      <c r="D1" s="141"/>
      <c r="E1" s="141"/>
      <c r="F1" s="90" t="s">
        <v>926</v>
      </c>
    </row>
    <row r="2" ht="15.75" customHeight="1">
      <c r="A2" s="142"/>
      <c r="B2" s="142" t="s">
        <v>3</v>
      </c>
      <c r="C2" s="142" t="s">
        <v>4</v>
      </c>
      <c r="D2" s="142" t="s">
        <v>6</v>
      </c>
      <c r="E2" s="142" t="s">
        <v>234</v>
      </c>
      <c r="F2" s="142" t="s">
        <v>8</v>
      </c>
    </row>
    <row r="3" ht="15.75" customHeight="1">
      <c r="A3" s="143"/>
      <c r="B3" s="143"/>
      <c r="C3" s="144"/>
      <c r="D3" s="144"/>
      <c r="E3" s="144"/>
      <c r="F3" s="144"/>
    </row>
    <row r="4" ht="15.75" customHeight="1">
      <c r="A4" s="143"/>
      <c r="B4" s="143"/>
      <c r="C4" s="144"/>
      <c r="D4" s="144"/>
      <c r="E4" s="144"/>
      <c r="F4" s="144"/>
    </row>
    <row r="5" ht="15.75" customHeight="1">
      <c r="A5" s="139">
        <f t="shared" ref="A5:A75" si="1">SUM(D5*E5)</f>
        <v>2</v>
      </c>
      <c r="B5" s="143">
        <v>43097.0</v>
      </c>
      <c r="C5" s="144" t="s">
        <v>214</v>
      </c>
      <c r="D5" s="144">
        <v>2.0</v>
      </c>
      <c r="E5" s="144">
        <v>1.0</v>
      </c>
      <c r="F5" s="144" t="s">
        <v>927</v>
      </c>
    </row>
    <row r="6" ht="15.75" customHeight="1">
      <c r="A6" s="139">
        <f t="shared" si="1"/>
        <v>2</v>
      </c>
      <c r="B6" s="143">
        <v>43097.0</v>
      </c>
      <c r="C6" s="144" t="s">
        <v>120</v>
      </c>
      <c r="D6" s="144">
        <v>2.0</v>
      </c>
      <c r="E6" s="144">
        <v>1.0</v>
      </c>
      <c r="F6" s="144" t="s">
        <v>927</v>
      </c>
    </row>
    <row r="7" ht="15.75" customHeight="1">
      <c r="A7" s="139">
        <f t="shared" si="1"/>
        <v>4</v>
      </c>
      <c r="B7" s="143">
        <v>43078.0</v>
      </c>
      <c r="C7" s="144" t="s">
        <v>38</v>
      </c>
      <c r="D7" s="144">
        <v>4.0</v>
      </c>
      <c r="E7" s="144">
        <v>1.0</v>
      </c>
      <c r="F7" s="144" t="s">
        <v>928</v>
      </c>
    </row>
    <row r="8" ht="15.75" customHeight="1">
      <c r="A8" s="139">
        <f t="shared" si="1"/>
        <v>2</v>
      </c>
      <c r="B8" s="143">
        <v>43060.0</v>
      </c>
      <c r="C8" s="144" t="s">
        <v>929</v>
      </c>
      <c r="D8" s="144">
        <v>2.0</v>
      </c>
      <c r="E8" s="144">
        <v>1.0</v>
      </c>
      <c r="F8" s="144" t="s">
        <v>930</v>
      </c>
    </row>
    <row r="9" ht="15.75" customHeight="1">
      <c r="A9" s="139">
        <f t="shared" si="1"/>
        <v>70</v>
      </c>
      <c r="B9" s="143">
        <v>43047.0</v>
      </c>
      <c r="C9" s="144" t="s">
        <v>931</v>
      </c>
      <c r="D9" s="144">
        <v>5.0</v>
      </c>
      <c r="E9" s="144">
        <v>14.0</v>
      </c>
      <c r="F9" s="144" t="s">
        <v>932</v>
      </c>
    </row>
    <row r="10" ht="15.75" customHeight="1">
      <c r="A10" s="139">
        <f t="shared" si="1"/>
        <v>0</v>
      </c>
      <c r="B10" s="145">
        <v>43060.0</v>
      </c>
      <c r="C10" s="144" t="s">
        <v>107</v>
      </c>
      <c r="D10" s="144"/>
      <c r="E10" s="144">
        <v>1.0</v>
      </c>
      <c r="F10" s="144"/>
    </row>
    <row r="11" ht="15.75" customHeight="1">
      <c r="A11" s="139">
        <f t="shared" si="1"/>
        <v>7</v>
      </c>
      <c r="B11" s="143">
        <v>43058.0</v>
      </c>
      <c r="C11" s="144" t="s">
        <v>676</v>
      </c>
      <c r="D11" s="144">
        <v>7.0</v>
      </c>
      <c r="E11" s="144">
        <v>1.0</v>
      </c>
      <c r="F11" s="144" t="s">
        <v>933</v>
      </c>
    </row>
    <row r="12" ht="15.75" customHeight="1">
      <c r="A12" s="139">
        <f t="shared" si="1"/>
        <v>4</v>
      </c>
      <c r="B12" s="143">
        <v>43058.0</v>
      </c>
      <c r="C12" s="144" t="s">
        <v>934</v>
      </c>
      <c r="D12" s="144">
        <v>4.0</v>
      </c>
      <c r="E12" s="144">
        <v>1.0</v>
      </c>
      <c r="F12" s="144" t="s">
        <v>935</v>
      </c>
    </row>
    <row r="13" ht="15.75" customHeight="1">
      <c r="A13" s="139">
        <f t="shared" si="1"/>
        <v>3</v>
      </c>
      <c r="B13" s="143">
        <v>43053.0</v>
      </c>
      <c r="C13" s="144" t="s">
        <v>936</v>
      </c>
      <c r="D13" s="144">
        <v>3.0</v>
      </c>
      <c r="E13" s="144">
        <v>1.0</v>
      </c>
      <c r="F13" s="144" t="s">
        <v>937</v>
      </c>
    </row>
    <row r="14" ht="15.75" customHeight="1">
      <c r="A14" s="139">
        <f t="shared" si="1"/>
        <v>2</v>
      </c>
      <c r="B14" s="143">
        <v>43045.0</v>
      </c>
      <c r="C14" s="144" t="s">
        <v>151</v>
      </c>
      <c r="D14" s="144">
        <v>2.0</v>
      </c>
      <c r="E14" s="144">
        <v>1.0</v>
      </c>
      <c r="F14" s="144" t="s">
        <v>938</v>
      </c>
    </row>
    <row r="15" ht="15.75" customHeight="1">
      <c r="A15" s="139">
        <f t="shared" si="1"/>
        <v>12</v>
      </c>
      <c r="B15" s="143">
        <v>43036.0</v>
      </c>
      <c r="C15" s="144" t="s">
        <v>38</v>
      </c>
      <c r="D15" s="144">
        <v>12.0</v>
      </c>
      <c r="E15" s="144">
        <v>1.0</v>
      </c>
      <c r="F15" s="144" t="s">
        <v>939</v>
      </c>
    </row>
    <row r="16" ht="15.75" customHeight="1">
      <c r="A16" s="139">
        <f t="shared" si="1"/>
        <v>3</v>
      </c>
      <c r="B16" s="145">
        <v>43024.0</v>
      </c>
      <c r="C16" s="144" t="s">
        <v>29</v>
      </c>
      <c r="D16" s="144">
        <v>3.0</v>
      </c>
      <c r="E16" s="144">
        <v>1.0</v>
      </c>
      <c r="F16" s="144" t="s">
        <v>940</v>
      </c>
    </row>
    <row r="17" ht="15.75" customHeight="1">
      <c r="A17" s="139">
        <f t="shared" si="1"/>
        <v>7</v>
      </c>
      <c r="B17" s="145">
        <v>43023.0</v>
      </c>
      <c r="C17" s="144" t="s">
        <v>29</v>
      </c>
      <c r="D17" s="144">
        <v>7.0</v>
      </c>
      <c r="E17" s="144">
        <v>1.0</v>
      </c>
      <c r="F17" s="144" t="s">
        <v>941</v>
      </c>
    </row>
    <row r="18" ht="15.75" customHeight="1">
      <c r="A18" s="139">
        <f t="shared" si="1"/>
        <v>6</v>
      </c>
      <c r="B18" s="143">
        <v>43019.0</v>
      </c>
      <c r="C18" s="144" t="s">
        <v>29</v>
      </c>
      <c r="D18" s="144">
        <v>6.0</v>
      </c>
      <c r="E18" s="144">
        <v>1.0</v>
      </c>
      <c r="F18" s="144" t="s">
        <v>942</v>
      </c>
    </row>
    <row r="19" ht="15.75" customHeight="1">
      <c r="A19" s="139">
        <f t="shared" si="1"/>
        <v>3</v>
      </c>
      <c r="B19" s="143">
        <v>43015.0</v>
      </c>
      <c r="C19" s="144" t="s">
        <v>38</v>
      </c>
      <c r="D19" s="144">
        <v>3.0</v>
      </c>
      <c r="E19" s="144">
        <v>1.0</v>
      </c>
      <c r="F19" s="144" t="s">
        <v>943</v>
      </c>
    </row>
    <row r="20" ht="15.75" customHeight="1">
      <c r="A20" s="139">
        <f t="shared" si="1"/>
        <v>12</v>
      </c>
      <c r="B20" s="144" t="s">
        <v>259</v>
      </c>
      <c r="C20" s="144" t="s">
        <v>944</v>
      </c>
      <c r="D20" s="144">
        <v>2.0</v>
      </c>
      <c r="E20" s="144">
        <v>6.0</v>
      </c>
      <c r="F20" s="144" t="s">
        <v>945</v>
      </c>
    </row>
    <row r="21" ht="15.75" customHeight="1">
      <c r="A21" s="139">
        <f t="shared" si="1"/>
        <v>120</v>
      </c>
      <c r="B21" s="144" t="s">
        <v>259</v>
      </c>
      <c r="C21" s="144" t="s">
        <v>946</v>
      </c>
      <c r="D21" s="144">
        <v>15.0</v>
      </c>
      <c r="E21" s="144">
        <v>8.0</v>
      </c>
      <c r="F21" s="144" t="s">
        <v>947</v>
      </c>
    </row>
    <row r="22" ht="15.75" customHeight="1">
      <c r="A22" s="139">
        <f t="shared" si="1"/>
        <v>6</v>
      </c>
      <c r="B22" s="143">
        <v>42988.0</v>
      </c>
      <c r="C22" s="144" t="s">
        <v>38</v>
      </c>
      <c r="D22" s="144">
        <v>6.0</v>
      </c>
      <c r="E22" s="144">
        <v>1.0</v>
      </c>
      <c r="F22" s="144" t="s">
        <v>948</v>
      </c>
    </row>
    <row r="23" ht="15.75" customHeight="1">
      <c r="A23" s="139">
        <f t="shared" si="1"/>
        <v>8</v>
      </c>
      <c r="B23" s="143">
        <v>42985.0</v>
      </c>
      <c r="C23" s="144" t="s">
        <v>38</v>
      </c>
      <c r="D23" s="144">
        <v>8.0</v>
      </c>
      <c r="E23" s="144">
        <v>1.0</v>
      </c>
      <c r="F23" s="144" t="s">
        <v>949</v>
      </c>
    </row>
    <row r="24" ht="15.75" customHeight="1">
      <c r="A24" s="139">
        <f t="shared" si="1"/>
        <v>7</v>
      </c>
      <c r="B24" s="143">
        <v>42981.0</v>
      </c>
      <c r="C24" s="144" t="s">
        <v>846</v>
      </c>
      <c r="D24" s="144">
        <v>7.0</v>
      </c>
      <c r="E24" s="144">
        <v>1.0</v>
      </c>
      <c r="F24" s="144" t="s">
        <v>950</v>
      </c>
    </row>
    <row r="25" ht="15.75" customHeight="1">
      <c r="A25" s="139">
        <f t="shared" si="1"/>
        <v>3</v>
      </c>
      <c r="B25" s="143">
        <v>42980.0</v>
      </c>
      <c r="C25" s="144" t="s">
        <v>951</v>
      </c>
      <c r="D25" s="144">
        <v>3.0</v>
      </c>
      <c r="E25" s="144">
        <v>1.0</v>
      </c>
      <c r="F25" s="144" t="s">
        <v>952</v>
      </c>
    </row>
    <row r="26" ht="15.75" customHeight="1">
      <c r="A26" s="139">
        <f t="shared" si="1"/>
        <v>2</v>
      </c>
      <c r="B26" s="143">
        <v>42966.0</v>
      </c>
      <c r="C26" s="144" t="s">
        <v>907</v>
      </c>
      <c r="D26" s="144">
        <v>2.0</v>
      </c>
      <c r="E26" s="144">
        <v>1.0</v>
      </c>
      <c r="F26" s="144" t="s">
        <v>953</v>
      </c>
    </row>
    <row r="27" ht="15.75" customHeight="1">
      <c r="A27" s="139">
        <f t="shared" si="1"/>
        <v>3</v>
      </c>
      <c r="B27" s="143">
        <v>42966.0</v>
      </c>
      <c r="C27" s="144" t="s">
        <v>38</v>
      </c>
      <c r="D27" s="144">
        <v>3.0</v>
      </c>
      <c r="E27" s="144">
        <v>1.0</v>
      </c>
      <c r="F27" s="144" t="s">
        <v>953</v>
      </c>
    </row>
    <row r="28" ht="15.75" customHeight="1">
      <c r="A28" s="139">
        <f t="shared" si="1"/>
        <v>5</v>
      </c>
      <c r="B28" s="143">
        <v>42953.0</v>
      </c>
      <c r="C28" s="144" t="s">
        <v>36</v>
      </c>
      <c r="D28" s="144">
        <v>5.0</v>
      </c>
      <c r="E28" s="144">
        <v>1.0</v>
      </c>
      <c r="F28" s="144" t="s">
        <v>954</v>
      </c>
    </row>
    <row r="29" ht="15.75" customHeight="1">
      <c r="A29" s="139">
        <f t="shared" si="1"/>
        <v>3</v>
      </c>
      <c r="B29" s="143">
        <v>42951.0</v>
      </c>
      <c r="C29" s="144" t="s">
        <v>38</v>
      </c>
      <c r="D29" s="144">
        <v>3.0</v>
      </c>
      <c r="E29" s="144">
        <v>1.0</v>
      </c>
      <c r="F29" s="144" t="s">
        <v>955</v>
      </c>
    </row>
    <row r="30" ht="15.75" customHeight="1">
      <c r="A30" s="139">
        <f t="shared" si="1"/>
        <v>2</v>
      </c>
      <c r="B30" s="143">
        <v>42942.0</v>
      </c>
      <c r="C30" s="144" t="s">
        <v>38</v>
      </c>
      <c r="D30" s="144">
        <v>2.0</v>
      </c>
      <c r="E30" s="144">
        <v>1.0</v>
      </c>
      <c r="F30" s="144" t="s">
        <v>956</v>
      </c>
    </row>
    <row r="31" ht="15.75" customHeight="1">
      <c r="A31" s="139">
        <f t="shared" si="1"/>
        <v>5</v>
      </c>
      <c r="B31" s="143">
        <v>42941.0</v>
      </c>
      <c r="C31" s="144" t="s">
        <v>36</v>
      </c>
      <c r="D31" s="144">
        <v>5.0</v>
      </c>
      <c r="E31" s="144">
        <v>1.0</v>
      </c>
      <c r="F31" s="144" t="s">
        <v>957</v>
      </c>
    </row>
    <row r="32" ht="15.75" customHeight="1">
      <c r="A32" s="139">
        <f t="shared" si="1"/>
        <v>2</v>
      </c>
      <c r="B32" s="146">
        <v>42933.0</v>
      </c>
      <c r="C32" s="144" t="s">
        <v>958</v>
      </c>
      <c r="D32" s="144">
        <v>2.0</v>
      </c>
      <c r="E32" s="144">
        <v>1.0</v>
      </c>
      <c r="F32" s="144" t="s">
        <v>959</v>
      </c>
    </row>
    <row r="33" ht="15.75" customHeight="1">
      <c r="A33" s="139">
        <f t="shared" si="1"/>
        <v>9</v>
      </c>
      <c r="B33" s="143">
        <v>42930.0</v>
      </c>
      <c r="C33" s="144" t="s">
        <v>603</v>
      </c>
      <c r="D33" s="144">
        <v>3.0</v>
      </c>
      <c r="E33" s="144">
        <v>3.0</v>
      </c>
      <c r="F33" s="144" t="s">
        <v>960</v>
      </c>
    </row>
    <row r="34" ht="15.75" customHeight="1">
      <c r="A34" s="139">
        <f t="shared" si="1"/>
        <v>7</v>
      </c>
      <c r="B34" s="143">
        <v>42924.0</v>
      </c>
      <c r="C34" s="144" t="s">
        <v>104</v>
      </c>
      <c r="D34" s="144">
        <v>7.0</v>
      </c>
      <c r="E34" s="144">
        <v>1.0</v>
      </c>
      <c r="F34" s="144" t="s">
        <v>961</v>
      </c>
    </row>
    <row r="35" ht="15.75" customHeight="1">
      <c r="A35" s="139">
        <f t="shared" si="1"/>
        <v>40</v>
      </c>
      <c r="B35" s="143">
        <v>42910.0</v>
      </c>
      <c r="C35" s="144" t="s">
        <v>603</v>
      </c>
      <c r="D35" s="144">
        <v>5.0</v>
      </c>
      <c r="E35" s="144">
        <v>8.0</v>
      </c>
      <c r="F35" s="144" t="s">
        <v>962</v>
      </c>
    </row>
    <row r="36" ht="15.75" customHeight="1">
      <c r="A36" s="139">
        <f t="shared" si="1"/>
        <v>9</v>
      </c>
      <c r="B36" s="143">
        <v>42904.0</v>
      </c>
      <c r="C36" s="144" t="s">
        <v>287</v>
      </c>
      <c r="D36" s="144">
        <v>9.0</v>
      </c>
      <c r="E36" s="144">
        <v>1.0</v>
      </c>
      <c r="F36" s="144" t="s">
        <v>963</v>
      </c>
    </row>
    <row r="37" ht="15.75" customHeight="1">
      <c r="A37" s="139">
        <f t="shared" si="1"/>
        <v>2</v>
      </c>
      <c r="B37" s="143">
        <v>42904.0</v>
      </c>
      <c r="C37" s="144" t="s">
        <v>22</v>
      </c>
      <c r="D37" s="144">
        <v>2.0</v>
      </c>
      <c r="E37" s="144">
        <v>1.0</v>
      </c>
      <c r="F37" s="144" t="s">
        <v>964</v>
      </c>
    </row>
    <row r="38" ht="15.75" customHeight="1">
      <c r="A38" s="139">
        <f t="shared" si="1"/>
        <v>3</v>
      </c>
      <c r="B38" s="143">
        <v>42903.0</v>
      </c>
      <c r="C38" s="144" t="s">
        <v>965</v>
      </c>
      <c r="D38" s="144">
        <v>3.0</v>
      </c>
      <c r="E38" s="144">
        <v>1.0</v>
      </c>
      <c r="F38" s="144" t="s">
        <v>966</v>
      </c>
    </row>
    <row r="39" ht="15.75" customHeight="1">
      <c r="A39" s="139">
        <f t="shared" si="1"/>
        <v>10</v>
      </c>
      <c r="B39" s="143">
        <v>42896.0</v>
      </c>
      <c r="C39" s="144" t="s">
        <v>967</v>
      </c>
      <c r="D39" s="144">
        <v>10.0</v>
      </c>
      <c r="E39" s="144">
        <v>1.0</v>
      </c>
      <c r="F39" s="144" t="s">
        <v>968</v>
      </c>
    </row>
    <row r="40" ht="15.75" customHeight="1">
      <c r="A40" s="139">
        <f t="shared" si="1"/>
        <v>4</v>
      </c>
      <c r="B40" s="143">
        <v>42896.0</v>
      </c>
      <c r="C40" s="144" t="s">
        <v>779</v>
      </c>
      <c r="D40" s="144">
        <v>4.0</v>
      </c>
      <c r="E40" s="144">
        <v>1.0</v>
      </c>
      <c r="F40" s="144" t="s">
        <v>969</v>
      </c>
    </row>
    <row r="41" ht="15.75" customHeight="1">
      <c r="A41" s="139">
        <f t="shared" si="1"/>
        <v>3</v>
      </c>
      <c r="B41" s="143">
        <v>42890.0</v>
      </c>
      <c r="C41" s="144" t="s">
        <v>120</v>
      </c>
      <c r="D41" s="144">
        <v>3.0</v>
      </c>
      <c r="E41" s="144">
        <v>1.0</v>
      </c>
      <c r="F41" s="144" t="s">
        <v>970</v>
      </c>
    </row>
    <row r="42" ht="15.75" customHeight="1">
      <c r="A42" s="139">
        <f t="shared" si="1"/>
        <v>6</v>
      </c>
      <c r="B42" s="143">
        <v>42889.0</v>
      </c>
      <c r="C42" s="144" t="s">
        <v>120</v>
      </c>
      <c r="D42" s="144">
        <v>6.0</v>
      </c>
      <c r="E42" s="144">
        <v>1.0</v>
      </c>
      <c r="F42" s="144" t="s">
        <v>971</v>
      </c>
    </row>
    <row r="43" ht="15.75" customHeight="1">
      <c r="A43" s="139">
        <f t="shared" si="1"/>
        <v>3</v>
      </c>
      <c r="B43" s="143">
        <v>42887.0</v>
      </c>
      <c r="C43" s="144" t="s">
        <v>972</v>
      </c>
      <c r="D43" s="144">
        <v>3.0</v>
      </c>
      <c r="E43" s="144">
        <v>1.0</v>
      </c>
      <c r="F43" s="144" t="s">
        <v>973</v>
      </c>
    </row>
    <row r="44" ht="15.75" customHeight="1">
      <c r="A44" s="139">
        <f t="shared" si="1"/>
        <v>8</v>
      </c>
      <c r="B44" s="143">
        <v>42881.0</v>
      </c>
      <c r="C44" s="144" t="s">
        <v>974</v>
      </c>
      <c r="D44" s="144">
        <v>4.0</v>
      </c>
      <c r="E44" s="144">
        <v>2.0</v>
      </c>
      <c r="F44" s="144" t="s">
        <v>975</v>
      </c>
    </row>
    <row r="45" ht="15.75" customHeight="1">
      <c r="A45" s="139">
        <f t="shared" si="1"/>
        <v>5</v>
      </c>
      <c r="B45" s="143">
        <v>42880.0</v>
      </c>
      <c r="C45" s="144" t="s">
        <v>72</v>
      </c>
      <c r="D45" s="144">
        <v>5.0</v>
      </c>
      <c r="E45" s="144">
        <v>1.0</v>
      </c>
      <c r="F45" s="144" t="s">
        <v>976</v>
      </c>
    </row>
    <row r="46" ht="15.75" customHeight="1">
      <c r="A46" s="139">
        <f t="shared" si="1"/>
        <v>7</v>
      </c>
      <c r="B46" s="143">
        <v>42876.0</v>
      </c>
      <c r="C46" s="144" t="s">
        <v>72</v>
      </c>
      <c r="D46" s="144">
        <v>7.0</v>
      </c>
      <c r="E46" s="144">
        <v>1.0</v>
      </c>
      <c r="F46" s="144" t="s">
        <v>977</v>
      </c>
    </row>
    <row r="47" ht="15.75" customHeight="1">
      <c r="A47" s="139">
        <f t="shared" si="1"/>
        <v>30</v>
      </c>
      <c r="B47" s="143">
        <v>42863.0</v>
      </c>
      <c r="C47" s="144" t="s">
        <v>978</v>
      </c>
      <c r="D47" s="144">
        <v>3.0</v>
      </c>
      <c r="E47" s="144">
        <v>10.0</v>
      </c>
      <c r="F47" s="144" t="s">
        <v>979</v>
      </c>
    </row>
    <row r="48" ht="15.75" customHeight="1">
      <c r="A48" s="139">
        <f t="shared" si="1"/>
        <v>20</v>
      </c>
      <c r="B48" s="143">
        <v>42870.0</v>
      </c>
      <c r="C48" s="144" t="s">
        <v>980</v>
      </c>
      <c r="D48" s="144">
        <v>4.0</v>
      </c>
      <c r="E48" s="144">
        <v>5.0</v>
      </c>
      <c r="F48" s="144" t="s">
        <v>981</v>
      </c>
    </row>
    <row r="49" ht="15.75" customHeight="1">
      <c r="A49" s="139">
        <f t="shared" si="1"/>
        <v>4</v>
      </c>
      <c r="B49" s="143">
        <v>42869.0</v>
      </c>
      <c r="C49" s="144" t="s">
        <v>120</v>
      </c>
      <c r="D49" s="144">
        <v>4.0</v>
      </c>
      <c r="E49" s="144">
        <v>1.0</v>
      </c>
      <c r="F49" s="144" t="s">
        <v>982</v>
      </c>
    </row>
    <row r="50" ht="15.75" customHeight="1">
      <c r="A50" s="139">
        <f t="shared" si="1"/>
        <v>7</v>
      </c>
      <c r="B50" s="143">
        <v>42862.0</v>
      </c>
      <c r="C50" s="144" t="s">
        <v>983</v>
      </c>
      <c r="D50" s="144">
        <v>7.0</v>
      </c>
      <c r="E50" s="144">
        <v>1.0</v>
      </c>
      <c r="F50" s="144" t="s">
        <v>984</v>
      </c>
    </row>
    <row r="51" ht="15.75" customHeight="1">
      <c r="A51" s="139">
        <f t="shared" si="1"/>
        <v>8</v>
      </c>
      <c r="B51" s="143">
        <v>42857.0</v>
      </c>
      <c r="C51" s="144" t="s">
        <v>985</v>
      </c>
      <c r="D51" s="144">
        <v>2.0</v>
      </c>
      <c r="E51" s="144">
        <v>4.0</v>
      </c>
      <c r="F51" s="144" t="s">
        <v>986</v>
      </c>
    </row>
    <row r="52" ht="15.75" customHeight="1">
      <c r="A52" s="139">
        <f t="shared" si="1"/>
        <v>6</v>
      </c>
      <c r="B52" s="143">
        <v>42852.0</v>
      </c>
      <c r="C52" s="144" t="s">
        <v>784</v>
      </c>
      <c r="D52" s="144">
        <v>6.0</v>
      </c>
      <c r="E52" s="144">
        <v>1.0</v>
      </c>
      <c r="F52" s="144" t="s">
        <v>987</v>
      </c>
    </row>
    <row r="53" ht="15.75" customHeight="1">
      <c r="A53" s="139">
        <f t="shared" si="1"/>
        <v>2</v>
      </c>
      <c r="B53" s="143">
        <v>42851.0</v>
      </c>
      <c r="C53" s="144" t="s">
        <v>151</v>
      </c>
      <c r="D53" s="144">
        <v>2.0</v>
      </c>
      <c r="E53" s="144">
        <v>1.0</v>
      </c>
      <c r="F53" s="144" t="s">
        <v>988</v>
      </c>
    </row>
    <row r="54" ht="15.75" customHeight="1">
      <c r="A54" s="139">
        <f t="shared" si="1"/>
        <v>3</v>
      </c>
      <c r="B54" s="143">
        <v>42848.0</v>
      </c>
      <c r="C54" s="144" t="s">
        <v>699</v>
      </c>
      <c r="D54" s="144">
        <v>3.0</v>
      </c>
      <c r="E54" s="144">
        <v>1.0</v>
      </c>
      <c r="F54" s="144" t="s">
        <v>989</v>
      </c>
    </row>
    <row r="55" ht="15.75" customHeight="1">
      <c r="A55" s="139">
        <f t="shared" si="1"/>
        <v>5</v>
      </c>
      <c r="B55" s="143">
        <v>42848.0</v>
      </c>
      <c r="C55" s="144" t="s">
        <v>990</v>
      </c>
      <c r="D55" s="144">
        <v>5.0</v>
      </c>
      <c r="E55" s="144">
        <v>1.0</v>
      </c>
      <c r="F55" s="144" t="s">
        <v>991</v>
      </c>
    </row>
    <row r="56" ht="15.75" customHeight="1">
      <c r="A56" s="139">
        <f t="shared" si="1"/>
        <v>0</v>
      </c>
      <c r="B56" s="143">
        <v>42848.0</v>
      </c>
      <c r="C56" s="144" t="s">
        <v>992</v>
      </c>
      <c r="D56" s="144"/>
      <c r="E56" s="144">
        <v>1.0</v>
      </c>
      <c r="F56" s="144" t="s">
        <v>993</v>
      </c>
    </row>
    <row r="57" ht="15.75" customHeight="1">
      <c r="A57" s="139">
        <f t="shared" si="1"/>
        <v>6</v>
      </c>
      <c r="B57" s="143">
        <v>42847.0</v>
      </c>
      <c r="C57" s="144" t="s">
        <v>983</v>
      </c>
      <c r="D57" s="144">
        <v>6.0</v>
      </c>
      <c r="E57" s="144">
        <v>1.0</v>
      </c>
      <c r="F57" s="144" t="s">
        <v>994</v>
      </c>
    </row>
    <row r="58" ht="15.75" customHeight="1">
      <c r="A58" s="139">
        <f t="shared" si="1"/>
        <v>2</v>
      </c>
      <c r="B58" s="143">
        <v>42844.0</v>
      </c>
      <c r="C58" s="144" t="s">
        <v>699</v>
      </c>
      <c r="D58" s="144">
        <v>2.0</v>
      </c>
      <c r="E58" s="144">
        <v>1.0</v>
      </c>
      <c r="F58" s="144" t="s">
        <v>995</v>
      </c>
    </row>
    <row r="59" ht="15.75" customHeight="1">
      <c r="A59" s="139">
        <f t="shared" si="1"/>
        <v>2</v>
      </c>
      <c r="B59" s="143">
        <v>42841.0</v>
      </c>
      <c r="C59" s="144" t="s">
        <v>996</v>
      </c>
      <c r="D59" s="144">
        <v>2.0</v>
      </c>
      <c r="E59" s="144">
        <v>1.0</v>
      </c>
      <c r="F59" s="144" t="s">
        <v>997</v>
      </c>
    </row>
    <row r="60" ht="15.75" customHeight="1">
      <c r="A60" s="139">
        <f t="shared" si="1"/>
        <v>7</v>
      </c>
      <c r="B60" s="143">
        <v>42837.0</v>
      </c>
      <c r="C60" s="144" t="s">
        <v>214</v>
      </c>
      <c r="D60" s="144">
        <v>7.0</v>
      </c>
      <c r="E60" s="144">
        <v>1.0</v>
      </c>
      <c r="F60" s="144" t="s">
        <v>998</v>
      </c>
    </row>
    <row r="61" ht="15.75" customHeight="1">
      <c r="A61" s="139">
        <f t="shared" si="1"/>
        <v>3</v>
      </c>
      <c r="B61" s="143">
        <v>42835.0</v>
      </c>
      <c r="C61" s="144" t="s">
        <v>999</v>
      </c>
      <c r="D61" s="144">
        <v>3.0</v>
      </c>
      <c r="E61" s="144">
        <v>1.0</v>
      </c>
      <c r="F61" s="144" t="s">
        <v>1000</v>
      </c>
    </row>
    <row r="62" ht="15.75" customHeight="1">
      <c r="A62" s="139">
        <f t="shared" si="1"/>
        <v>30</v>
      </c>
      <c r="B62" s="143">
        <v>42833.0</v>
      </c>
      <c r="C62" s="144" t="s">
        <v>148</v>
      </c>
      <c r="D62" s="144">
        <v>6.0</v>
      </c>
      <c r="E62" s="144">
        <v>5.0</v>
      </c>
      <c r="F62" s="144" t="s">
        <v>1001</v>
      </c>
    </row>
    <row r="63" ht="15.75" customHeight="1">
      <c r="A63" s="139">
        <f t="shared" si="1"/>
        <v>6</v>
      </c>
      <c r="B63" s="143">
        <v>42833.0</v>
      </c>
      <c r="C63" s="144" t="s">
        <v>198</v>
      </c>
      <c r="D63" s="144">
        <v>2.0</v>
      </c>
      <c r="E63" s="144">
        <v>3.0</v>
      </c>
      <c r="F63" s="144" t="s">
        <v>1002</v>
      </c>
    </row>
    <row r="64" ht="15.75" customHeight="1">
      <c r="A64" s="139">
        <f t="shared" si="1"/>
        <v>4</v>
      </c>
      <c r="B64" s="143">
        <v>42830.0</v>
      </c>
      <c r="C64" s="144" t="s">
        <v>1003</v>
      </c>
      <c r="D64" s="144">
        <v>4.0</v>
      </c>
      <c r="E64" s="144">
        <v>1.0</v>
      </c>
      <c r="F64" s="144" t="s">
        <v>1004</v>
      </c>
    </row>
    <row r="65" ht="15.75" customHeight="1">
      <c r="A65" s="139">
        <f t="shared" si="1"/>
        <v>2</v>
      </c>
      <c r="B65" s="143">
        <v>42827.0</v>
      </c>
      <c r="C65" s="144" t="s">
        <v>151</v>
      </c>
      <c r="D65" s="144">
        <v>2.0</v>
      </c>
      <c r="E65" s="144">
        <v>1.0</v>
      </c>
      <c r="F65" s="144" t="s">
        <v>1005</v>
      </c>
    </row>
    <row r="66" ht="15.75" customHeight="1">
      <c r="A66" s="139">
        <f t="shared" si="1"/>
        <v>4</v>
      </c>
      <c r="B66" s="143">
        <v>42824.0</v>
      </c>
      <c r="C66" s="144" t="s">
        <v>1006</v>
      </c>
      <c r="D66" s="144">
        <v>4.0</v>
      </c>
      <c r="E66" s="144">
        <v>1.0</v>
      </c>
      <c r="F66" s="144" t="s">
        <v>1007</v>
      </c>
    </row>
    <row r="67" ht="15.75" customHeight="1">
      <c r="A67" s="139">
        <f t="shared" si="1"/>
        <v>3</v>
      </c>
      <c r="B67" s="143">
        <v>42823.0</v>
      </c>
      <c r="C67" s="144" t="s">
        <v>171</v>
      </c>
      <c r="D67" s="144">
        <v>3.0</v>
      </c>
      <c r="E67" s="144">
        <v>1.0</v>
      </c>
      <c r="F67" s="144" t="s">
        <v>1008</v>
      </c>
    </row>
    <row r="68" ht="15.75" customHeight="1">
      <c r="A68" s="139">
        <f t="shared" si="1"/>
        <v>9</v>
      </c>
      <c r="B68" s="143">
        <v>42821.0</v>
      </c>
      <c r="C68" s="144" t="s">
        <v>29</v>
      </c>
      <c r="D68" s="147">
        <v>9.0</v>
      </c>
      <c r="E68" s="147">
        <v>1.0</v>
      </c>
      <c r="F68" s="144" t="s">
        <v>1009</v>
      </c>
    </row>
    <row r="69" ht="15.75" customHeight="1">
      <c r="A69" s="139">
        <f t="shared" si="1"/>
        <v>5</v>
      </c>
      <c r="B69" s="143">
        <v>42820.0</v>
      </c>
      <c r="C69" s="144" t="s">
        <v>1010</v>
      </c>
      <c r="D69" s="144">
        <v>5.0</v>
      </c>
      <c r="E69" s="144">
        <v>1.0</v>
      </c>
      <c r="F69" s="144" t="s">
        <v>1011</v>
      </c>
    </row>
    <row r="70" ht="15.75" customHeight="1">
      <c r="A70" s="139">
        <f t="shared" si="1"/>
        <v>6</v>
      </c>
      <c r="B70" s="143">
        <v>42816.0</v>
      </c>
      <c r="C70" s="144" t="s">
        <v>1006</v>
      </c>
      <c r="D70" s="144">
        <v>6.0</v>
      </c>
      <c r="E70" s="144">
        <v>1.0</v>
      </c>
      <c r="F70" s="144" t="s">
        <v>1012</v>
      </c>
    </row>
    <row r="71" ht="15.75" customHeight="1">
      <c r="A71" s="139">
        <f t="shared" si="1"/>
        <v>144</v>
      </c>
      <c r="B71" s="143">
        <v>42795.0</v>
      </c>
      <c r="C71" s="144" t="s">
        <v>1013</v>
      </c>
      <c r="D71" s="144">
        <v>12.0</v>
      </c>
      <c r="E71" s="144">
        <v>12.0</v>
      </c>
      <c r="F71" s="144" t="s">
        <v>1014</v>
      </c>
    </row>
    <row r="72" ht="15.75" customHeight="1">
      <c r="A72" s="139">
        <f t="shared" si="1"/>
        <v>6</v>
      </c>
      <c r="B72" s="143">
        <v>42784.0</v>
      </c>
      <c r="C72" s="144" t="s">
        <v>41</v>
      </c>
      <c r="D72" s="144">
        <v>6.0</v>
      </c>
      <c r="E72" s="144">
        <v>1.0</v>
      </c>
      <c r="F72" s="144" t="s">
        <v>1015</v>
      </c>
    </row>
    <row r="73" ht="15.75" customHeight="1">
      <c r="A73" s="139">
        <f t="shared" si="1"/>
        <v>4</v>
      </c>
      <c r="B73" s="148">
        <v>42764.0</v>
      </c>
      <c r="C73" s="144" t="s">
        <v>1016</v>
      </c>
      <c r="D73" s="147">
        <v>4.0</v>
      </c>
      <c r="E73" s="147">
        <v>1.0</v>
      </c>
      <c r="F73" s="144" t="s">
        <v>1017</v>
      </c>
    </row>
    <row r="74" ht="15.75" customHeight="1">
      <c r="A74" s="139">
        <f t="shared" si="1"/>
        <v>3</v>
      </c>
      <c r="B74" s="148">
        <v>42754.0</v>
      </c>
      <c r="C74" s="144" t="s">
        <v>41</v>
      </c>
      <c r="D74" s="147">
        <v>3.0</v>
      </c>
      <c r="E74" s="144">
        <v>1.0</v>
      </c>
      <c r="F74" s="144" t="s">
        <v>1018</v>
      </c>
    </row>
    <row r="75" ht="15.75" customHeight="1">
      <c r="A75" s="139">
        <f t="shared" si="1"/>
        <v>2</v>
      </c>
      <c r="B75" s="148">
        <v>42751.0</v>
      </c>
      <c r="C75" s="144" t="s">
        <v>41</v>
      </c>
      <c r="D75" s="147">
        <v>2.0</v>
      </c>
      <c r="E75" s="147">
        <v>1.0</v>
      </c>
      <c r="F75" s="144" t="s">
        <v>1019</v>
      </c>
    </row>
    <row r="76" ht="15.75" customHeight="1">
      <c r="A76" s="139">
        <f>SUM(A5:A75)</f>
        <v>754</v>
      </c>
      <c r="B76" s="148"/>
      <c r="C76" s="144"/>
      <c r="D76" s="149"/>
      <c r="E76" s="144"/>
      <c r="F76" s="144"/>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2" width="11.75"/>
    <col customWidth="1" min="3" max="3" width="15.13"/>
    <col customWidth="1" min="4" max="4" width="5.13"/>
    <col customWidth="1" min="5" max="5" width="5.0"/>
    <col customWidth="1" min="6" max="6" width="74.88"/>
    <col customWidth="1" min="7" max="27" width="15.13"/>
  </cols>
  <sheetData>
    <row r="1" ht="15.75" customHeight="1">
      <c r="A1" s="150">
        <f>SUM(A4:A97)</f>
        <v>529</v>
      </c>
      <c r="B1" s="151" t="s">
        <v>1020</v>
      </c>
      <c r="C1" s="139">
        <f>SUM(E4:E90)</f>
        <v>113</v>
      </c>
      <c r="D1" s="141"/>
      <c r="E1" s="141"/>
      <c r="F1" s="90" t="s">
        <v>1021</v>
      </c>
    </row>
    <row r="2" ht="15.75" customHeight="1">
      <c r="A2" s="152"/>
      <c r="B2" s="142" t="s">
        <v>3</v>
      </c>
      <c r="C2" s="142" t="s">
        <v>4</v>
      </c>
      <c r="D2" s="142" t="s">
        <v>6</v>
      </c>
      <c r="E2" s="142" t="s">
        <v>234</v>
      </c>
      <c r="F2" s="142" t="s">
        <v>8</v>
      </c>
    </row>
    <row r="3" ht="15.75" customHeight="1">
      <c r="A3" s="147"/>
      <c r="B3" s="148"/>
      <c r="C3" s="144"/>
      <c r="D3" s="147"/>
      <c r="E3" s="147"/>
      <c r="F3" s="144"/>
    </row>
    <row r="4" ht="15.75" customHeight="1">
      <c r="A4" s="147">
        <f t="shared" ref="A4:A89" si="1">D4*E4</f>
        <v>2</v>
      </c>
      <c r="B4" s="148">
        <v>42732.0</v>
      </c>
      <c r="C4" s="144" t="s">
        <v>22</v>
      </c>
      <c r="D4" s="147">
        <v>2.0</v>
      </c>
      <c r="E4" s="147">
        <v>1.0</v>
      </c>
      <c r="F4" s="144" t="s">
        <v>1022</v>
      </c>
    </row>
    <row r="5" ht="15.75" customHeight="1">
      <c r="A5" s="147">
        <f t="shared" si="1"/>
        <v>3</v>
      </c>
      <c r="B5" s="148">
        <v>42727.0</v>
      </c>
      <c r="C5" s="144" t="s">
        <v>779</v>
      </c>
      <c r="D5" s="147">
        <v>3.0</v>
      </c>
      <c r="E5" s="147">
        <v>1.0</v>
      </c>
      <c r="F5" s="144" t="s">
        <v>1023</v>
      </c>
      <c r="I5" s="153"/>
      <c r="J5" s="153"/>
      <c r="K5" s="153"/>
      <c r="L5" s="153"/>
      <c r="M5" s="153"/>
      <c r="N5" s="153"/>
      <c r="O5" s="153"/>
      <c r="P5" s="153"/>
    </row>
    <row r="6" ht="15.75" customHeight="1">
      <c r="A6" s="147">
        <f t="shared" si="1"/>
        <v>3</v>
      </c>
      <c r="B6" s="148">
        <v>42722.0</v>
      </c>
      <c r="C6" s="144" t="s">
        <v>41</v>
      </c>
      <c r="D6" s="147">
        <v>3.0</v>
      </c>
      <c r="E6" s="147">
        <v>1.0</v>
      </c>
      <c r="F6" s="144" t="s">
        <v>1024</v>
      </c>
      <c r="G6" s="154"/>
    </row>
    <row r="7" ht="15.75" customHeight="1">
      <c r="A7" s="147">
        <f t="shared" si="1"/>
        <v>2</v>
      </c>
      <c r="B7" s="148">
        <v>42719.0</v>
      </c>
      <c r="C7" s="144" t="s">
        <v>1025</v>
      </c>
      <c r="D7" s="147">
        <v>2.0</v>
      </c>
      <c r="E7" s="147">
        <v>1.0</v>
      </c>
      <c r="F7" s="144" t="s">
        <v>1026</v>
      </c>
      <c r="G7" s="154"/>
    </row>
    <row r="8" ht="15.75" customHeight="1">
      <c r="A8" s="147">
        <f t="shared" si="1"/>
        <v>6</v>
      </c>
      <c r="B8" s="148">
        <v>42708.0</v>
      </c>
      <c r="C8" s="144" t="s">
        <v>22</v>
      </c>
      <c r="D8" s="147">
        <v>6.0</v>
      </c>
      <c r="E8" s="147">
        <v>1.0</v>
      </c>
      <c r="F8" s="144" t="s">
        <v>1027</v>
      </c>
      <c r="G8" s="154"/>
    </row>
    <row r="9" ht="15.75" customHeight="1">
      <c r="A9" s="147">
        <f t="shared" si="1"/>
        <v>3</v>
      </c>
      <c r="B9" s="148">
        <v>42703.0</v>
      </c>
      <c r="C9" s="144" t="s">
        <v>22</v>
      </c>
      <c r="D9" s="147">
        <v>3.0</v>
      </c>
      <c r="E9" s="147">
        <v>1.0</v>
      </c>
      <c r="F9" s="144" t="s">
        <v>1028</v>
      </c>
      <c r="G9" s="154"/>
    </row>
    <row r="10" ht="15.75" customHeight="1">
      <c r="A10" s="147">
        <f t="shared" si="1"/>
        <v>6</v>
      </c>
      <c r="B10" s="148">
        <v>42701.0</v>
      </c>
      <c r="C10" s="144" t="s">
        <v>41</v>
      </c>
      <c r="D10" s="147">
        <v>6.0</v>
      </c>
      <c r="E10" s="147">
        <v>1.0</v>
      </c>
      <c r="F10" s="144" t="s">
        <v>1029</v>
      </c>
      <c r="G10" s="154"/>
    </row>
    <row r="11" ht="15.75" customHeight="1">
      <c r="A11" s="147">
        <f t="shared" si="1"/>
        <v>7</v>
      </c>
      <c r="B11" s="148">
        <v>42685.0</v>
      </c>
      <c r="C11" s="144" t="s">
        <v>81</v>
      </c>
      <c r="D11" s="147">
        <v>7.0</v>
      </c>
      <c r="E11" s="147">
        <v>1.0</v>
      </c>
      <c r="F11" s="144" t="s">
        <v>1030</v>
      </c>
      <c r="G11" s="154"/>
    </row>
    <row r="12" ht="15.75" customHeight="1">
      <c r="A12" s="147">
        <f t="shared" si="1"/>
        <v>2</v>
      </c>
      <c r="B12" s="148">
        <v>42676.0</v>
      </c>
      <c r="C12" s="144" t="s">
        <v>1031</v>
      </c>
      <c r="D12" s="147">
        <v>2.0</v>
      </c>
      <c r="E12" s="147">
        <v>1.0</v>
      </c>
      <c r="F12" s="144" t="s">
        <v>1032</v>
      </c>
    </row>
    <row r="13" ht="15.75" customHeight="1">
      <c r="A13" s="147">
        <f t="shared" si="1"/>
        <v>9</v>
      </c>
      <c r="B13" s="144" t="s">
        <v>1033</v>
      </c>
      <c r="C13" s="144" t="s">
        <v>1034</v>
      </c>
      <c r="D13" s="147">
        <v>3.0</v>
      </c>
      <c r="E13" s="147">
        <v>3.0</v>
      </c>
      <c r="F13" s="144" t="s">
        <v>1035</v>
      </c>
    </row>
    <row r="14" ht="15.75" customHeight="1">
      <c r="A14" s="147">
        <f t="shared" si="1"/>
        <v>4</v>
      </c>
      <c r="B14" s="148">
        <v>42666.0</v>
      </c>
      <c r="C14" s="144" t="s">
        <v>1010</v>
      </c>
      <c r="D14" s="147">
        <v>4.0</v>
      </c>
      <c r="E14" s="147">
        <v>1.0</v>
      </c>
      <c r="F14" s="144" t="s">
        <v>1036</v>
      </c>
      <c r="G14" s="155"/>
    </row>
    <row r="15" ht="15.75" customHeight="1">
      <c r="A15" s="147">
        <f t="shared" si="1"/>
        <v>3</v>
      </c>
      <c r="B15" s="148">
        <v>42660.0</v>
      </c>
      <c r="C15" s="144" t="s">
        <v>1037</v>
      </c>
      <c r="D15" s="147">
        <v>3.0</v>
      </c>
      <c r="E15" s="147">
        <v>1.0</v>
      </c>
      <c r="F15" s="144" t="s">
        <v>1038</v>
      </c>
    </row>
    <row r="16" ht="15.75" customHeight="1">
      <c r="A16" s="147">
        <f t="shared" si="1"/>
        <v>9</v>
      </c>
      <c r="B16" s="148">
        <v>42658.0</v>
      </c>
      <c r="C16" s="144" t="s">
        <v>29</v>
      </c>
      <c r="D16" s="147">
        <v>9.0</v>
      </c>
      <c r="E16" s="147">
        <v>1.0</v>
      </c>
      <c r="F16" s="144" t="s">
        <v>1039</v>
      </c>
      <c r="G16" s="155"/>
    </row>
    <row r="17" ht="15.75" customHeight="1">
      <c r="A17" s="147">
        <f t="shared" si="1"/>
        <v>4</v>
      </c>
      <c r="B17" s="146">
        <v>42655.0</v>
      </c>
      <c r="C17" s="144" t="s">
        <v>1040</v>
      </c>
      <c r="D17" s="147">
        <v>4.0</v>
      </c>
      <c r="E17" s="147">
        <v>1.0</v>
      </c>
      <c r="F17" s="144" t="s">
        <v>1041</v>
      </c>
      <c r="G17" s="155"/>
    </row>
    <row r="18" ht="15.75" customHeight="1">
      <c r="A18" s="147">
        <f t="shared" si="1"/>
        <v>4</v>
      </c>
      <c r="B18" s="148">
        <v>42651.0</v>
      </c>
      <c r="C18" s="144" t="s">
        <v>243</v>
      </c>
      <c r="D18" s="147">
        <v>4.0</v>
      </c>
      <c r="E18" s="147">
        <v>1.0</v>
      </c>
      <c r="F18" s="144" t="s">
        <v>1042</v>
      </c>
      <c r="G18" s="155"/>
    </row>
    <row r="19" ht="15.75" customHeight="1">
      <c r="A19" s="147">
        <f t="shared" si="1"/>
        <v>4</v>
      </c>
      <c r="B19" s="148">
        <v>42651.0</v>
      </c>
      <c r="C19" s="144" t="s">
        <v>598</v>
      </c>
      <c r="D19" s="147">
        <v>2.0</v>
      </c>
      <c r="E19" s="147">
        <v>2.0</v>
      </c>
      <c r="F19" s="144" t="s">
        <v>1043</v>
      </c>
      <c r="G19" s="155"/>
    </row>
    <row r="20" ht="15.75" customHeight="1">
      <c r="A20" s="147">
        <f t="shared" si="1"/>
        <v>6</v>
      </c>
      <c r="B20" s="148">
        <v>42645.0</v>
      </c>
      <c r="C20" s="144" t="s">
        <v>1044</v>
      </c>
      <c r="D20" s="147">
        <v>6.0</v>
      </c>
      <c r="E20" s="147">
        <v>1.0</v>
      </c>
      <c r="F20" s="144" t="s">
        <v>1045</v>
      </c>
      <c r="G20" s="155"/>
    </row>
    <row r="21" ht="15.75" customHeight="1">
      <c r="A21" s="147">
        <f t="shared" si="1"/>
        <v>6</v>
      </c>
      <c r="B21" s="145">
        <v>42645.0</v>
      </c>
      <c r="C21" s="144" t="s">
        <v>1046</v>
      </c>
      <c r="D21" s="147">
        <v>6.0</v>
      </c>
      <c r="E21" s="147">
        <v>1.0</v>
      </c>
      <c r="F21" s="144" t="s">
        <v>1047</v>
      </c>
      <c r="G21" s="155"/>
    </row>
    <row r="22" ht="15.75" customHeight="1">
      <c r="A22" s="147">
        <f t="shared" si="1"/>
        <v>5</v>
      </c>
      <c r="B22" s="148">
        <v>42637.0</v>
      </c>
      <c r="C22" s="144" t="s">
        <v>706</v>
      </c>
      <c r="D22" s="147">
        <v>5.0</v>
      </c>
      <c r="E22" s="147">
        <v>1.0</v>
      </c>
      <c r="F22" s="144" t="s">
        <v>1048</v>
      </c>
    </row>
    <row r="23" ht="15.75" customHeight="1">
      <c r="A23" s="147">
        <f t="shared" si="1"/>
        <v>2</v>
      </c>
      <c r="B23" s="148">
        <v>42637.0</v>
      </c>
      <c r="C23" s="144" t="s">
        <v>1049</v>
      </c>
      <c r="D23" s="147">
        <v>2.0</v>
      </c>
      <c r="E23" s="147">
        <v>1.0</v>
      </c>
      <c r="F23" s="144" t="s">
        <v>1050</v>
      </c>
    </row>
    <row r="24" ht="15.75" customHeight="1">
      <c r="A24" s="147">
        <f t="shared" si="1"/>
        <v>35</v>
      </c>
      <c r="B24" s="148">
        <v>42625.0</v>
      </c>
      <c r="C24" s="144" t="s">
        <v>1051</v>
      </c>
      <c r="D24" s="144">
        <v>7.0</v>
      </c>
      <c r="E24" s="144">
        <v>5.0</v>
      </c>
      <c r="F24" s="144" t="s">
        <v>1052</v>
      </c>
    </row>
    <row r="25" ht="15.75" customHeight="1">
      <c r="A25" s="147">
        <f t="shared" si="1"/>
        <v>27</v>
      </c>
      <c r="B25" s="148">
        <v>42622.0</v>
      </c>
      <c r="C25" s="144" t="s">
        <v>598</v>
      </c>
      <c r="D25" s="147">
        <v>9.0</v>
      </c>
      <c r="E25" s="147">
        <v>3.0</v>
      </c>
      <c r="F25" s="144" t="s">
        <v>1053</v>
      </c>
    </row>
    <row r="26" ht="15.75" customHeight="1">
      <c r="A26" s="147">
        <f t="shared" si="1"/>
        <v>5</v>
      </c>
      <c r="B26" s="148">
        <v>42620.0</v>
      </c>
      <c r="C26" s="144" t="s">
        <v>22</v>
      </c>
      <c r="D26" s="147">
        <v>5.0</v>
      </c>
      <c r="E26" s="147">
        <v>1.0</v>
      </c>
      <c r="F26" s="144" t="s">
        <v>1054</v>
      </c>
    </row>
    <row r="27" ht="15.75" customHeight="1">
      <c r="A27" s="147">
        <f t="shared" si="1"/>
        <v>9</v>
      </c>
      <c r="B27" s="148">
        <v>42610.0</v>
      </c>
      <c r="C27" s="144" t="s">
        <v>38</v>
      </c>
      <c r="D27" s="144">
        <v>9.0</v>
      </c>
      <c r="E27" s="144">
        <v>1.0</v>
      </c>
      <c r="F27" s="144" t="s">
        <v>1055</v>
      </c>
    </row>
    <row r="28" ht="15.75" customHeight="1">
      <c r="A28" s="147">
        <f t="shared" si="1"/>
        <v>9</v>
      </c>
      <c r="B28" s="148">
        <v>42609.0</v>
      </c>
      <c r="C28" s="144" t="s">
        <v>1056</v>
      </c>
      <c r="D28" s="144">
        <v>9.0</v>
      </c>
      <c r="E28" s="144">
        <v>1.0</v>
      </c>
      <c r="F28" s="144" t="s">
        <v>1057</v>
      </c>
    </row>
    <row r="29" ht="15.75" customHeight="1">
      <c r="A29" s="147">
        <f t="shared" si="1"/>
        <v>2</v>
      </c>
      <c r="B29" s="148">
        <v>42597.0</v>
      </c>
      <c r="C29" s="144" t="s">
        <v>243</v>
      </c>
      <c r="D29" s="144">
        <v>2.0</v>
      </c>
      <c r="E29" s="144">
        <v>1.0</v>
      </c>
      <c r="F29" s="144" t="s">
        <v>1058</v>
      </c>
    </row>
    <row r="30" ht="15.75" customHeight="1">
      <c r="A30" s="147">
        <f t="shared" si="1"/>
        <v>3</v>
      </c>
      <c r="B30" s="148">
        <v>42596.0</v>
      </c>
      <c r="C30" s="144" t="s">
        <v>243</v>
      </c>
      <c r="D30" s="144">
        <v>3.0</v>
      </c>
      <c r="E30" s="144">
        <v>1.0</v>
      </c>
      <c r="F30" s="144" t="s">
        <v>1059</v>
      </c>
      <c r="G30" s="156"/>
    </row>
    <row r="31" ht="11.25" customHeight="1">
      <c r="A31" s="147">
        <f t="shared" si="1"/>
        <v>5</v>
      </c>
      <c r="B31" s="148">
        <v>42587.0</v>
      </c>
      <c r="C31" s="144" t="s">
        <v>38</v>
      </c>
      <c r="D31" s="144">
        <v>5.0</v>
      </c>
      <c r="E31" s="144">
        <v>1.0</v>
      </c>
      <c r="F31" s="144" t="s">
        <v>1060</v>
      </c>
    </row>
    <row r="32" ht="15.75" customHeight="1">
      <c r="A32" s="147">
        <f t="shared" si="1"/>
        <v>8</v>
      </c>
      <c r="B32" s="148">
        <v>42582.0</v>
      </c>
      <c r="C32" s="144" t="s">
        <v>36</v>
      </c>
      <c r="D32" s="144">
        <v>4.0</v>
      </c>
      <c r="E32" s="144">
        <v>2.0</v>
      </c>
      <c r="F32" s="144" t="s">
        <v>1061</v>
      </c>
    </row>
    <row r="33" ht="15.75" customHeight="1">
      <c r="A33" s="147">
        <f t="shared" si="1"/>
        <v>2</v>
      </c>
      <c r="B33" s="148">
        <v>42574.0</v>
      </c>
      <c r="C33" s="144" t="s">
        <v>1062</v>
      </c>
      <c r="D33" s="144">
        <v>2.0</v>
      </c>
      <c r="E33" s="144">
        <v>1.0</v>
      </c>
      <c r="F33" s="144" t="s">
        <v>1063</v>
      </c>
    </row>
    <row r="34" ht="15.75" customHeight="1">
      <c r="A34" s="147">
        <f t="shared" si="1"/>
        <v>8</v>
      </c>
      <c r="B34" s="148">
        <v>42565.0</v>
      </c>
      <c r="C34" s="144" t="s">
        <v>36</v>
      </c>
      <c r="D34" s="144">
        <v>4.0</v>
      </c>
      <c r="E34" s="144">
        <v>2.0</v>
      </c>
      <c r="F34" s="144" t="s">
        <v>1064</v>
      </c>
    </row>
    <row r="35" ht="15.75" customHeight="1">
      <c r="A35" s="147">
        <f t="shared" si="1"/>
        <v>10</v>
      </c>
      <c r="B35" s="148">
        <v>42554.0</v>
      </c>
      <c r="C35" s="144" t="s">
        <v>1065</v>
      </c>
      <c r="D35" s="144">
        <v>2.0</v>
      </c>
      <c r="E35" s="144">
        <v>5.0</v>
      </c>
      <c r="F35" s="144" t="s">
        <v>1066</v>
      </c>
    </row>
    <row r="36" ht="15.75" customHeight="1">
      <c r="A36" s="147">
        <f t="shared" si="1"/>
        <v>4</v>
      </c>
      <c r="B36" s="148">
        <v>42546.0</v>
      </c>
      <c r="C36" s="144" t="s">
        <v>1067</v>
      </c>
      <c r="D36" s="144">
        <v>4.0</v>
      </c>
      <c r="E36" s="144">
        <v>1.0</v>
      </c>
      <c r="F36" s="144" t="s">
        <v>1068</v>
      </c>
    </row>
    <row r="37" ht="15.75" customHeight="1">
      <c r="A37" s="147">
        <f t="shared" si="1"/>
        <v>4</v>
      </c>
      <c r="B37" s="148">
        <v>42544.0</v>
      </c>
      <c r="C37" s="144" t="s">
        <v>1069</v>
      </c>
      <c r="D37" s="144">
        <v>4.0</v>
      </c>
      <c r="E37" s="144">
        <v>1.0</v>
      </c>
      <c r="F37" s="144"/>
    </row>
    <row r="38" ht="15.75" customHeight="1">
      <c r="A38" s="147">
        <f t="shared" si="1"/>
        <v>2</v>
      </c>
      <c r="B38" s="148">
        <v>42544.0</v>
      </c>
      <c r="C38" s="144" t="s">
        <v>29</v>
      </c>
      <c r="D38" s="144">
        <v>2.0</v>
      </c>
      <c r="E38" s="144">
        <v>1.0</v>
      </c>
      <c r="F38" s="144" t="s">
        <v>1070</v>
      </c>
    </row>
    <row r="39" ht="15.75" customHeight="1">
      <c r="A39" s="147">
        <f t="shared" si="1"/>
        <v>2</v>
      </c>
      <c r="B39" s="148">
        <v>42543.0</v>
      </c>
      <c r="C39" s="144" t="s">
        <v>1069</v>
      </c>
      <c r="D39" s="144">
        <v>2.0</v>
      </c>
      <c r="E39" s="144">
        <v>1.0</v>
      </c>
      <c r="F39" s="144"/>
    </row>
    <row r="40" ht="15.75" customHeight="1">
      <c r="A40" s="147">
        <f t="shared" si="1"/>
        <v>30</v>
      </c>
      <c r="B40" s="148">
        <v>42541.0</v>
      </c>
      <c r="C40" s="144" t="s">
        <v>603</v>
      </c>
      <c r="D40" s="144">
        <v>6.0</v>
      </c>
      <c r="E40" s="144">
        <v>5.0</v>
      </c>
      <c r="F40" s="144" t="s">
        <v>1071</v>
      </c>
    </row>
    <row r="41" ht="15.75" customHeight="1">
      <c r="A41" s="147">
        <f t="shared" si="1"/>
        <v>9</v>
      </c>
      <c r="B41" s="148">
        <v>42539.0</v>
      </c>
      <c r="C41" s="144" t="s">
        <v>36</v>
      </c>
      <c r="D41" s="144">
        <v>9.0</v>
      </c>
      <c r="E41" s="144">
        <v>1.0</v>
      </c>
      <c r="F41" s="144" t="s">
        <v>1072</v>
      </c>
    </row>
    <row r="42" ht="15.75" customHeight="1">
      <c r="A42" s="147">
        <f t="shared" si="1"/>
        <v>9</v>
      </c>
      <c r="B42" s="148">
        <v>42535.0</v>
      </c>
      <c r="C42" s="144" t="s">
        <v>603</v>
      </c>
      <c r="D42" s="144">
        <v>3.0</v>
      </c>
      <c r="E42" s="144">
        <v>3.0</v>
      </c>
      <c r="F42" s="144" t="s">
        <v>1073</v>
      </c>
    </row>
    <row r="43" ht="15.75" customHeight="1">
      <c r="A43" s="147">
        <f t="shared" si="1"/>
        <v>6</v>
      </c>
      <c r="B43" s="148">
        <v>42518.0</v>
      </c>
      <c r="C43" s="144" t="s">
        <v>104</v>
      </c>
      <c r="D43" s="144">
        <v>3.0</v>
      </c>
      <c r="E43" s="144">
        <v>2.0</v>
      </c>
      <c r="F43" s="144" t="s">
        <v>1074</v>
      </c>
    </row>
    <row r="44" ht="15.75" customHeight="1">
      <c r="A44" s="147">
        <f t="shared" si="1"/>
        <v>6</v>
      </c>
      <c r="B44" s="148">
        <v>42514.0</v>
      </c>
      <c r="C44" s="144" t="s">
        <v>243</v>
      </c>
      <c r="D44" s="144">
        <v>6.0</v>
      </c>
      <c r="E44" s="144">
        <v>1.0</v>
      </c>
      <c r="F44" s="144" t="s">
        <v>1075</v>
      </c>
    </row>
    <row r="45" ht="15.75" customHeight="1">
      <c r="A45" s="147">
        <f t="shared" si="1"/>
        <v>2</v>
      </c>
      <c r="B45" s="148">
        <v>42511.0</v>
      </c>
      <c r="C45" s="144" t="s">
        <v>706</v>
      </c>
      <c r="D45" s="144">
        <v>2.0</v>
      </c>
      <c r="E45" s="144">
        <v>1.0</v>
      </c>
      <c r="F45" s="144" t="s">
        <v>1076</v>
      </c>
    </row>
    <row r="46" ht="15.75" customHeight="1">
      <c r="A46" s="147">
        <f t="shared" si="1"/>
        <v>12</v>
      </c>
      <c r="B46" s="148">
        <v>42511.0</v>
      </c>
      <c r="C46" s="144" t="s">
        <v>29</v>
      </c>
      <c r="D46" s="144">
        <v>12.0</v>
      </c>
      <c r="E46" s="144">
        <v>1.0</v>
      </c>
      <c r="F46" s="144" t="s">
        <v>1077</v>
      </c>
    </row>
    <row r="47" ht="15.75" customHeight="1">
      <c r="A47" s="147">
        <f t="shared" si="1"/>
        <v>3</v>
      </c>
      <c r="B47" s="148">
        <v>42507.0</v>
      </c>
      <c r="C47" s="144" t="s">
        <v>198</v>
      </c>
      <c r="D47" s="144">
        <v>3.0</v>
      </c>
      <c r="E47" s="144">
        <v>1.0</v>
      </c>
      <c r="F47" s="144" t="s">
        <v>1078</v>
      </c>
    </row>
    <row r="48" ht="15.75" customHeight="1">
      <c r="A48" s="147">
        <f t="shared" si="1"/>
        <v>4</v>
      </c>
      <c r="B48" s="148">
        <v>42505.0</v>
      </c>
      <c r="C48" s="144" t="s">
        <v>1079</v>
      </c>
      <c r="D48" s="144">
        <v>4.0</v>
      </c>
      <c r="E48" s="144">
        <v>1.0</v>
      </c>
      <c r="F48" s="144" t="s">
        <v>1080</v>
      </c>
    </row>
    <row r="49" ht="15.75" customHeight="1">
      <c r="A49" s="147">
        <f t="shared" si="1"/>
        <v>4</v>
      </c>
      <c r="B49" s="148">
        <v>42505.0</v>
      </c>
      <c r="C49" s="144" t="s">
        <v>36</v>
      </c>
      <c r="D49" s="144">
        <v>4.0</v>
      </c>
      <c r="E49" s="144">
        <v>1.0</v>
      </c>
      <c r="F49" s="144" t="s">
        <v>1081</v>
      </c>
    </row>
    <row r="50" ht="15.75" customHeight="1">
      <c r="A50" s="147">
        <f t="shared" si="1"/>
        <v>10</v>
      </c>
      <c r="B50" s="148">
        <v>42505.0</v>
      </c>
      <c r="C50" s="144" t="s">
        <v>198</v>
      </c>
      <c r="D50" s="144">
        <v>5.0</v>
      </c>
      <c r="E50" s="144">
        <v>2.0</v>
      </c>
      <c r="F50" s="144" t="s">
        <v>1082</v>
      </c>
    </row>
    <row r="51" ht="15.75" customHeight="1">
      <c r="A51" s="147">
        <f t="shared" si="1"/>
        <v>11</v>
      </c>
      <c r="B51" s="148">
        <v>42497.0</v>
      </c>
      <c r="C51" s="144" t="s">
        <v>706</v>
      </c>
      <c r="D51" s="144">
        <v>11.0</v>
      </c>
      <c r="E51" s="144">
        <v>1.0</v>
      </c>
      <c r="F51" s="144" t="s">
        <v>1083</v>
      </c>
    </row>
    <row r="52" ht="15.75" customHeight="1">
      <c r="A52" s="147">
        <f t="shared" si="1"/>
        <v>3</v>
      </c>
      <c r="B52" s="148">
        <v>42496.0</v>
      </c>
      <c r="C52" s="144" t="s">
        <v>1084</v>
      </c>
      <c r="D52" s="144">
        <v>3.0</v>
      </c>
      <c r="E52" s="144">
        <v>1.0</v>
      </c>
      <c r="F52" s="144" t="s">
        <v>1085</v>
      </c>
    </row>
    <row r="53" ht="15.75" customHeight="1">
      <c r="A53" s="147">
        <f t="shared" si="1"/>
        <v>5</v>
      </c>
      <c r="B53" s="148">
        <v>42496.0</v>
      </c>
      <c r="C53" s="144" t="s">
        <v>29</v>
      </c>
      <c r="D53" s="144">
        <v>5.0</v>
      </c>
      <c r="E53" s="144">
        <v>1.0</v>
      </c>
      <c r="F53" s="144" t="s">
        <v>1086</v>
      </c>
    </row>
    <row r="54" ht="15.75" customHeight="1">
      <c r="A54" s="147">
        <f t="shared" si="1"/>
        <v>9</v>
      </c>
      <c r="B54" s="148">
        <v>42495.0</v>
      </c>
      <c r="C54" s="144" t="s">
        <v>1040</v>
      </c>
      <c r="D54" s="144">
        <v>9.0</v>
      </c>
      <c r="E54" s="144">
        <v>1.0</v>
      </c>
      <c r="F54" s="144" t="s">
        <v>1087</v>
      </c>
    </row>
    <row r="55" ht="15.75" customHeight="1">
      <c r="A55" s="147">
        <f t="shared" si="1"/>
        <v>5</v>
      </c>
      <c r="B55" s="148">
        <v>42494.0</v>
      </c>
      <c r="C55" s="144" t="s">
        <v>1040</v>
      </c>
      <c r="D55" s="144">
        <v>5.0</v>
      </c>
      <c r="E55" s="144">
        <v>1.0</v>
      </c>
      <c r="F55" s="144" t="s">
        <v>1088</v>
      </c>
    </row>
    <row r="56" ht="15.75" customHeight="1">
      <c r="A56" s="147">
        <f t="shared" si="1"/>
        <v>4</v>
      </c>
      <c r="B56" s="148">
        <v>42491.0</v>
      </c>
      <c r="C56" s="144" t="s">
        <v>36</v>
      </c>
      <c r="D56" s="144">
        <v>4.0</v>
      </c>
      <c r="E56" s="144">
        <v>1.0</v>
      </c>
      <c r="F56" s="144" t="s">
        <v>1072</v>
      </c>
    </row>
    <row r="57" ht="15.75" customHeight="1">
      <c r="A57" s="147">
        <f t="shared" si="1"/>
        <v>4</v>
      </c>
      <c r="B57" s="148">
        <v>42491.0</v>
      </c>
      <c r="C57" s="144" t="s">
        <v>243</v>
      </c>
      <c r="D57" s="144">
        <v>4.0</v>
      </c>
      <c r="E57" s="144">
        <v>1.0</v>
      </c>
      <c r="F57" s="144" t="s">
        <v>1089</v>
      </c>
    </row>
    <row r="58" ht="15.75" customHeight="1">
      <c r="A58" s="147">
        <f t="shared" si="1"/>
        <v>0</v>
      </c>
      <c r="B58" s="148">
        <v>42489.0</v>
      </c>
      <c r="C58" s="144" t="s">
        <v>1090</v>
      </c>
      <c r="D58" s="144">
        <v>4.0</v>
      </c>
      <c r="E58" s="144"/>
      <c r="F58" s="144" t="s">
        <v>1091</v>
      </c>
    </row>
    <row r="59" ht="15.75" customHeight="1">
      <c r="A59" s="147">
        <f t="shared" si="1"/>
        <v>12</v>
      </c>
      <c r="B59" s="148">
        <v>42487.0</v>
      </c>
      <c r="C59" s="144" t="s">
        <v>198</v>
      </c>
      <c r="D59" s="144">
        <v>4.0</v>
      </c>
      <c r="E59" s="144">
        <v>3.0</v>
      </c>
      <c r="F59" s="144" t="s">
        <v>1092</v>
      </c>
    </row>
    <row r="60" ht="15.75" customHeight="1">
      <c r="A60" s="147">
        <f t="shared" si="1"/>
        <v>2</v>
      </c>
      <c r="B60" s="148">
        <v>42479.0</v>
      </c>
      <c r="C60" s="144" t="s">
        <v>243</v>
      </c>
      <c r="D60" s="144">
        <v>2.0</v>
      </c>
      <c r="E60" s="144">
        <v>1.0</v>
      </c>
      <c r="F60" s="144" t="s">
        <v>1093</v>
      </c>
    </row>
    <row r="61" ht="15.75" customHeight="1">
      <c r="A61" s="147">
        <f t="shared" si="1"/>
        <v>6</v>
      </c>
      <c r="B61" s="148">
        <v>42477.0</v>
      </c>
      <c r="C61" s="144" t="s">
        <v>104</v>
      </c>
      <c r="D61" s="144">
        <v>3.0</v>
      </c>
      <c r="E61" s="144">
        <v>2.0</v>
      </c>
      <c r="F61" s="144" t="s">
        <v>1094</v>
      </c>
    </row>
    <row r="62" ht="15.75" customHeight="1">
      <c r="A62" s="147">
        <f t="shared" si="1"/>
        <v>5</v>
      </c>
      <c r="B62" s="148">
        <v>42477.0</v>
      </c>
      <c r="C62" s="144" t="s">
        <v>243</v>
      </c>
      <c r="D62" s="144">
        <v>5.0</v>
      </c>
      <c r="E62" s="144">
        <v>1.0</v>
      </c>
      <c r="F62" s="144" t="s">
        <v>1095</v>
      </c>
    </row>
    <row r="63" ht="15.75" customHeight="1">
      <c r="A63" s="147">
        <f t="shared" si="1"/>
        <v>18</v>
      </c>
      <c r="B63" s="148">
        <v>42471.0</v>
      </c>
      <c r="C63" s="144" t="s">
        <v>1096</v>
      </c>
      <c r="D63" s="144">
        <v>6.0</v>
      </c>
      <c r="E63" s="144">
        <v>3.0</v>
      </c>
      <c r="F63" s="144" t="s">
        <v>1097</v>
      </c>
    </row>
    <row r="64" ht="15.75" customHeight="1">
      <c r="A64" s="147">
        <f t="shared" si="1"/>
        <v>10</v>
      </c>
      <c r="B64" s="148">
        <v>42470.0</v>
      </c>
      <c r="C64" s="144" t="s">
        <v>706</v>
      </c>
      <c r="D64" s="144">
        <v>10.0</v>
      </c>
      <c r="E64" s="144">
        <v>1.0</v>
      </c>
      <c r="F64" s="144" t="s">
        <v>1098</v>
      </c>
    </row>
    <row r="65" ht="15.75" customHeight="1">
      <c r="A65" s="147">
        <f t="shared" si="1"/>
        <v>3</v>
      </c>
      <c r="B65" s="148">
        <v>42470.0</v>
      </c>
      <c r="C65" s="144" t="s">
        <v>22</v>
      </c>
      <c r="D65" s="144">
        <v>3.0</v>
      </c>
      <c r="E65" s="144">
        <v>1.0</v>
      </c>
      <c r="F65" s="144" t="s">
        <v>1099</v>
      </c>
    </row>
    <row r="66" ht="15.75" customHeight="1">
      <c r="A66" s="147">
        <f t="shared" si="1"/>
        <v>4</v>
      </c>
      <c r="B66" s="148">
        <v>42470.0</v>
      </c>
      <c r="C66" s="144" t="s">
        <v>1100</v>
      </c>
      <c r="D66" s="144">
        <v>4.0</v>
      </c>
      <c r="E66" s="144">
        <v>1.0</v>
      </c>
      <c r="F66" s="144" t="s">
        <v>1101</v>
      </c>
    </row>
    <row r="67" ht="15.75" customHeight="1">
      <c r="A67" s="147">
        <f t="shared" si="1"/>
        <v>6</v>
      </c>
      <c r="B67" s="148">
        <v>42467.0</v>
      </c>
      <c r="C67" s="144" t="s">
        <v>1102</v>
      </c>
      <c r="D67" s="144">
        <v>6.0</v>
      </c>
      <c r="E67" s="144">
        <v>1.0</v>
      </c>
      <c r="F67" s="144" t="s">
        <v>1103</v>
      </c>
    </row>
    <row r="68" ht="15.75" customHeight="1">
      <c r="A68" s="147">
        <f t="shared" si="1"/>
        <v>4</v>
      </c>
      <c r="B68" s="148">
        <v>42465.0</v>
      </c>
      <c r="C68" s="144" t="s">
        <v>36</v>
      </c>
      <c r="D68" s="144">
        <v>4.0</v>
      </c>
      <c r="E68" s="144">
        <v>1.0</v>
      </c>
      <c r="F68" s="144" t="s">
        <v>1104</v>
      </c>
    </row>
    <row r="69" ht="15.75" customHeight="1">
      <c r="A69" s="147">
        <f t="shared" si="1"/>
        <v>4</v>
      </c>
      <c r="B69" s="148">
        <v>42464.0</v>
      </c>
      <c r="C69" s="144" t="s">
        <v>1105</v>
      </c>
      <c r="D69" s="144">
        <v>4.0</v>
      </c>
      <c r="E69" s="144">
        <v>1.0</v>
      </c>
      <c r="F69" s="144" t="s">
        <v>1106</v>
      </c>
    </row>
    <row r="70" ht="15.75" customHeight="1">
      <c r="A70" s="147">
        <f t="shared" si="1"/>
        <v>3</v>
      </c>
      <c r="B70" s="148">
        <v>42463.0</v>
      </c>
      <c r="C70" s="144" t="s">
        <v>1084</v>
      </c>
      <c r="D70" s="144">
        <v>3.0</v>
      </c>
      <c r="E70" s="144">
        <v>1.0</v>
      </c>
      <c r="F70" s="144" t="s">
        <v>1107</v>
      </c>
    </row>
    <row r="71" ht="15.75" customHeight="1">
      <c r="A71" s="147">
        <f t="shared" si="1"/>
        <v>2</v>
      </c>
      <c r="B71" s="148">
        <v>42463.0</v>
      </c>
      <c r="C71" s="144" t="s">
        <v>1079</v>
      </c>
      <c r="D71" s="144">
        <v>2.0</v>
      </c>
      <c r="E71" s="144">
        <v>1.0</v>
      </c>
      <c r="F71" s="144" t="s">
        <v>1108</v>
      </c>
    </row>
    <row r="72" ht="15.75" customHeight="1">
      <c r="A72" s="147">
        <f t="shared" si="1"/>
        <v>2</v>
      </c>
      <c r="B72" s="148">
        <v>42462.0</v>
      </c>
      <c r="C72" s="144" t="s">
        <v>22</v>
      </c>
      <c r="D72" s="144">
        <v>2.0</v>
      </c>
      <c r="E72" s="144">
        <v>1.0</v>
      </c>
      <c r="F72" s="144" t="s">
        <v>1109</v>
      </c>
    </row>
    <row r="73" ht="15.75" customHeight="1">
      <c r="A73" s="147">
        <f t="shared" si="1"/>
        <v>3</v>
      </c>
      <c r="B73" s="148">
        <v>42461.0</v>
      </c>
      <c r="C73" s="144" t="s">
        <v>617</v>
      </c>
      <c r="D73" s="144">
        <v>3.0</v>
      </c>
      <c r="E73" s="144">
        <v>1.0</v>
      </c>
      <c r="F73" s="144" t="s">
        <v>1110</v>
      </c>
    </row>
    <row r="74" ht="15.75" customHeight="1">
      <c r="A74" s="147">
        <f t="shared" si="1"/>
        <v>9</v>
      </c>
      <c r="B74" s="148">
        <v>42455.0</v>
      </c>
      <c r="C74" s="144" t="s">
        <v>29</v>
      </c>
      <c r="D74" s="144">
        <v>9.0</v>
      </c>
      <c r="E74" s="144">
        <v>1.0</v>
      </c>
      <c r="F74" s="144" t="s">
        <v>1111</v>
      </c>
    </row>
    <row r="75" ht="15.75" customHeight="1">
      <c r="A75" s="147">
        <f t="shared" si="1"/>
        <v>6</v>
      </c>
      <c r="B75" s="148">
        <v>42451.0</v>
      </c>
      <c r="C75" s="144" t="s">
        <v>111</v>
      </c>
      <c r="D75" s="144">
        <v>6.0</v>
      </c>
      <c r="E75" s="144">
        <v>1.0</v>
      </c>
      <c r="F75" s="144" t="s">
        <v>1112</v>
      </c>
    </row>
    <row r="76" ht="15.75" customHeight="1">
      <c r="A76" s="147">
        <f t="shared" si="1"/>
        <v>2</v>
      </c>
      <c r="B76" s="157">
        <v>42450.0</v>
      </c>
      <c r="C76" s="144" t="s">
        <v>111</v>
      </c>
      <c r="D76" s="144">
        <v>2.0</v>
      </c>
      <c r="E76" s="144">
        <v>1.0</v>
      </c>
      <c r="F76" s="144" t="s">
        <v>1113</v>
      </c>
    </row>
    <row r="77" ht="15.75" customHeight="1">
      <c r="A77" s="147">
        <f t="shared" si="1"/>
        <v>5</v>
      </c>
      <c r="B77" s="157">
        <v>42448.0</v>
      </c>
      <c r="C77" s="144" t="s">
        <v>111</v>
      </c>
      <c r="D77" s="144">
        <v>5.0</v>
      </c>
      <c r="E77" s="144">
        <v>1.0</v>
      </c>
      <c r="F77" s="144" t="s">
        <v>1114</v>
      </c>
    </row>
    <row r="78" ht="15.75" customHeight="1">
      <c r="A78" s="147">
        <f t="shared" si="1"/>
        <v>8</v>
      </c>
      <c r="B78" s="157">
        <v>42444.0</v>
      </c>
      <c r="C78" s="144" t="s">
        <v>111</v>
      </c>
      <c r="D78" s="144">
        <v>8.0</v>
      </c>
      <c r="E78" s="144">
        <v>1.0</v>
      </c>
      <c r="F78" s="144" t="s">
        <v>1115</v>
      </c>
    </row>
    <row r="79" ht="15.75" customHeight="1">
      <c r="A79" s="147">
        <f t="shared" si="1"/>
        <v>8</v>
      </c>
      <c r="B79" s="157">
        <v>42441.0</v>
      </c>
      <c r="C79" s="144" t="s">
        <v>111</v>
      </c>
      <c r="D79" s="144">
        <v>8.0</v>
      </c>
      <c r="E79" s="144">
        <v>1.0</v>
      </c>
      <c r="F79" s="144" t="s">
        <v>1116</v>
      </c>
    </row>
    <row r="80" ht="15.75" customHeight="1">
      <c r="A80" s="147">
        <f t="shared" si="1"/>
        <v>2</v>
      </c>
      <c r="B80" s="157">
        <v>42441.0</v>
      </c>
      <c r="C80" s="144" t="s">
        <v>1040</v>
      </c>
      <c r="D80" s="144">
        <v>2.0</v>
      </c>
      <c r="E80" s="144">
        <v>1.0</v>
      </c>
      <c r="F80" s="144" t="s">
        <v>1117</v>
      </c>
    </row>
    <row r="81" ht="15.75" customHeight="1">
      <c r="A81" s="147">
        <f t="shared" si="1"/>
        <v>6</v>
      </c>
      <c r="B81" s="157">
        <v>42440.0</v>
      </c>
      <c r="C81" s="144" t="s">
        <v>111</v>
      </c>
      <c r="D81" s="144">
        <v>6.0</v>
      </c>
      <c r="E81" s="144">
        <v>1.0</v>
      </c>
      <c r="F81" s="144" t="s">
        <v>1118</v>
      </c>
    </row>
    <row r="82" ht="15.75" customHeight="1">
      <c r="A82" s="147">
        <f t="shared" si="1"/>
        <v>5</v>
      </c>
      <c r="B82" s="157">
        <v>42427.0</v>
      </c>
      <c r="C82" s="144" t="s">
        <v>111</v>
      </c>
      <c r="D82" s="144">
        <v>5.0</v>
      </c>
      <c r="E82" s="144">
        <v>1.0</v>
      </c>
      <c r="F82" s="144" t="s">
        <v>1119</v>
      </c>
    </row>
    <row r="83" ht="15.75" customHeight="1">
      <c r="A83" s="147">
        <f t="shared" si="1"/>
        <v>3</v>
      </c>
      <c r="B83" s="157">
        <v>42427.0</v>
      </c>
      <c r="C83" s="144" t="s">
        <v>1040</v>
      </c>
      <c r="D83" s="144">
        <v>3.0</v>
      </c>
      <c r="E83" s="144">
        <v>1.0</v>
      </c>
      <c r="F83" s="144" t="s">
        <v>1120</v>
      </c>
    </row>
    <row r="84" ht="15.75" customHeight="1">
      <c r="A84" s="147">
        <f t="shared" si="1"/>
        <v>7</v>
      </c>
      <c r="B84" s="157">
        <v>42425.0</v>
      </c>
      <c r="C84" s="144" t="s">
        <v>1102</v>
      </c>
      <c r="D84" s="144">
        <v>7.0</v>
      </c>
      <c r="E84" s="144">
        <v>1.0</v>
      </c>
      <c r="F84" s="144" t="s">
        <v>1022</v>
      </c>
    </row>
    <row r="85" ht="15.75" customHeight="1">
      <c r="A85" s="147">
        <f t="shared" si="1"/>
        <v>2</v>
      </c>
      <c r="B85" s="148">
        <v>42419.0</v>
      </c>
      <c r="C85" s="144" t="s">
        <v>171</v>
      </c>
      <c r="D85" s="144">
        <v>2.0</v>
      </c>
      <c r="E85" s="144">
        <v>1.0</v>
      </c>
    </row>
    <row r="86" ht="15.75" customHeight="1">
      <c r="A86" s="147">
        <f t="shared" si="1"/>
        <v>10</v>
      </c>
      <c r="B86" s="157">
        <v>42406.0</v>
      </c>
      <c r="C86" s="144" t="s">
        <v>111</v>
      </c>
      <c r="D86" s="144">
        <v>10.0</v>
      </c>
      <c r="E86" s="144">
        <v>1.0</v>
      </c>
      <c r="F86" s="144" t="s">
        <v>1121</v>
      </c>
    </row>
    <row r="87" ht="15.75" customHeight="1">
      <c r="A87" s="147">
        <f t="shared" si="1"/>
        <v>3</v>
      </c>
      <c r="B87" s="157">
        <v>42394.0</v>
      </c>
      <c r="C87" s="158" t="s">
        <v>779</v>
      </c>
      <c r="D87" s="158">
        <v>3.0</v>
      </c>
      <c r="E87" s="159">
        <v>1.0</v>
      </c>
      <c r="F87" s="158" t="s">
        <v>1122</v>
      </c>
    </row>
    <row r="88" ht="15.75" customHeight="1">
      <c r="A88" s="147">
        <f t="shared" si="1"/>
        <v>2</v>
      </c>
      <c r="B88" s="157">
        <v>42394.0</v>
      </c>
      <c r="C88" s="144" t="s">
        <v>29</v>
      </c>
      <c r="D88" s="144">
        <v>2.0</v>
      </c>
      <c r="E88" s="144">
        <v>1.0</v>
      </c>
      <c r="F88" s="144"/>
    </row>
    <row r="89" ht="15.75" customHeight="1">
      <c r="A89" s="147">
        <f t="shared" si="1"/>
        <v>6</v>
      </c>
      <c r="B89" s="157">
        <v>42378.0</v>
      </c>
      <c r="C89" s="158" t="s">
        <v>1123</v>
      </c>
      <c r="D89" s="158">
        <v>6.0</v>
      </c>
      <c r="E89" s="159">
        <v>1.0</v>
      </c>
      <c r="F89" s="158" t="s">
        <v>1124</v>
      </c>
    </row>
    <row r="90" ht="15.75" customHeight="1">
      <c r="A90" s="160"/>
    </row>
    <row r="91" ht="15.75" customHeight="1">
      <c r="A91" s="160"/>
    </row>
    <row r="92" ht="15.75" customHeight="1">
      <c r="A92" s="160"/>
    </row>
    <row r="93" ht="15.75" customHeight="1">
      <c r="A93" s="147"/>
      <c r="B93" s="161"/>
      <c r="C93" s="144"/>
      <c r="D93" s="147"/>
      <c r="E93" s="147"/>
      <c r="F93" s="144"/>
    </row>
    <row r="94" ht="15.75" customHeight="1">
      <c r="A94" s="147"/>
      <c r="B94" s="161"/>
      <c r="C94" s="144"/>
      <c r="D94" s="147"/>
      <c r="E94" s="147"/>
      <c r="F94" s="144"/>
    </row>
    <row r="95" ht="15.75" customHeight="1">
      <c r="A95" s="147"/>
      <c r="B95" s="161"/>
      <c r="C95" s="144"/>
      <c r="D95" s="147"/>
      <c r="E95" s="147"/>
      <c r="F95" s="144"/>
    </row>
    <row r="96" ht="15.75" customHeight="1">
      <c r="A96" s="147"/>
      <c r="B96" s="161"/>
      <c r="C96" s="144"/>
      <c r="D96" s="147"/>
      <c r="E96" s="147"/>
      <c r="F96" s="144"/>
    </row>
    <row r="97" ht="15.75" customHeight="1">
      <c r="A97" s="147"/>
      <c r="B97" s="161"/>
      <c r="C97" s="144"/>
      <c r="D97" s="147"/>
      <c r="E97" s="147"/>
      <c r="F97" s="144"/>
    </row>
    <row r="98" ht="15.75" customHeight="1">
      <c r="A98" s="147"/>
      <c r="B98" s="161"/>
      <c r="C98" s="144"/>
      <c r="D98" s="147"/>
      <c r="E98" s="147"/>
      <c r="F98" s="144"/>
    </row>
    <row r="99" ht="15.75" customHeight="1">
      <c r="A99" s="147"/>
      <c r="B99" s="161"/>
      <c r="C99" s="144"/>
      <c r="D99" s="147"/>
      <c r="E99" s="147"/>
      <c r="F99" s="144"/>
    </row>
    <row r="100" ht="15.75" customHeight="1">
      <c r="A100" s="147"/>
      <c r="B100" s="161"/>
      <c r="C100" s="144"/>
      <c r="D100" s="147"/>
      <c r="E100" s="147"/>
      <c r="F100" s="144"/>
    </row>
    <row r="101" ht="15.75" customHeight="1">
      <c r="A101" s="162"/>
      <c r="B101" s="163"/>
      <c r="C101" s="144"/>
      <c r="D101" s="147"/>
      <c r="E101" s="147"/>
      <c r="F101" s="144"/>
    </row>
    <row r="102" ht="15.75" customHeight="1">
      <c r="A102" s="147"/>
      <c r="B102" s="161"/>
      <c r="C102" s="144"/>
      <c r="D102" s="147"/>
      <c r="E102" s="147"/>
      <c r="F102" s="144"/>
    </row>
    <row r="103" ht="15.75" customHeight="1">
      <c r="A103" s="147"/>
      <c r="B103" s="161"/>
      <c r="C103" s="144"/>
      <c r="D103" s="147"/>
      <c r="E103" s="147"/>
      <c r="F103" s="144"/>
    </row>
    <row r="104" ht="15.75" customHeight="1">
      <c r="A104" s="162"/>
      <c r="B104" s="163"/>
      <c r="C104" s="144"/>
      <c r="D104" s="147"/>
      <c r="E104" s="147"/>
      <c r="F104" s="144"/>
    </row>
    <row r="105" ht="15.75" customHeight="1">
      <c r="A105" s="147"/>
      <c r="B105" s="161"/>
      <c r="C105" s="144"/>
      <c r="D105" s="147"/>
      <c r="E105" s="147"/>
      <c r="F105" s="144"/>
    </row>
    <row r="106" ht="15.75" customHeight="1">
      <c r="A106" s="147"/>
      <c r="B106" s="161"/>
      <c r="C106" s="144"/>
      <c r="D106" s="147"/>
      <c r="E106" s="147"/>
      <c r="F106" s="144"/>
    </row>
    <row r="107" ht="15.75" customHeight="1">
      <c r="A107" s="147"/>
      <c r="B107" s="161"/>
      <c r="C107" s="144"/>
      <c r="D107" s="164"/>
      <c r="E107" s="164"/>
      <c r="F107" s="144"/>
    </row>
    <row r="108" ht="15.75" customHeight="1">
      <c r="A108" s="147"/>
      <c r="B108" s="161"/>
      <c r="C108" s="144"/>
      <c r="D108" s="164"/>
      <c r="E108" s="164"/>
      <c r="F108" s="144"/>
    </row>
    <row r="109" ht="15.75" customHeight="1">
      <c r="A109" s="147"/>
      <c r="B109" s="161"/>
      <c r="C109" s="144"/>
      <c r="D109" s="164"/>
      <c r="E109" s="164"/>
      <c r="F109" s="144"/>
    </row>
    <row r="110" ht="15.75" customHeight="1">
      <c r="A110" s="147"/>
      <c r="B110" s="161"/>
      <c r="C110" s="144"/>
      <c r="D110" s="164"/>
      <c r="E110" s="164"/>
      <c r="F110" s="144"/>
    </row>
    <row r="111" ht="15.75" customHeight="1">
      <c r="A111" s="147"/>
      <c r="B111" s="161"/>
      <c r="C111" s="144"/>
      <c r="D111" s="164"/>
      <c r="E111" s="164"/>
      <c r="F111" s="144"/>
    </row>
    <row r="112" ht="15.75" customHeight="1">
      <c r="A112" s="147"/>
      <c r="B112" s="161"/>
      <c r="C112" s="144"/>
      <c r="D112" s="164"/>
      <c r="E112" s="164"/>
      <c r="F112" s="144"/>
    </row>
    <row r="113" ht="15.75" customHeight="1">
      <c r="A113" s="147"/>
      <c r="B113" s="161"/>
      <c r="C113" s="144"/>
      <c r="D113" s="164"/>
      <c r="E113" s="164"/>
      <c r="F113" s="144"/>
    </row>
    <row r="114" ht="15.75" customHeight="1">
      <c r="A114" s="147"/>
      <c r="B114" s="161"/>
      <c r="C114" s="144"/>
      <c r="D114" s="164"/>
      <c r="E114" s="164"/>
      <c r="F114" s="144"/>
    </row>
    <row r="115" ht="18.0" customHeight="1">
      <c r="A115" s="147"/>
      <c r="B115" s="161"/>
      <c r="C115" s="144"/>
      <c r="D115" s="164"/>
      <c r="E115" s="164"/>
      <c r="F115" s="144"/>
    </row>
    <row r="116" ht="15.75" customHeight="1">
      <c r="A116" s="147"/>
      <c r="B116" s="161"/>
      <c r="C116" s="144"/>
      <c r="D116" s="144"/>
      <c r="E116" s="144"/>
      <c r="F116" s="144"/>
    </row>
    <row r="117" ht="15.75" customHeight="1">
      <c r="A117" s="147"/>
      <c r="B117" s="161"/>
      <c r="C117" s="144"/>
      <c r="D117" s="144"/>
      <c r="E117" s="144"/>
      <c r="F117" s="144"/>
    </row>
    <row r="118" ht="15.75" customHeight="1">
      <c r="A118" s="147"/>
      <c r="B118" s="161"/>
      <c r="C118" s="144"/>
      <c r="D118" s="144"/>
      <c r="E118" s="144"/>
      <c r="F118" s="144"/>
    </row>
    <row r="119" ht="15.75" customHeight="1">
      <c r="A119" s="147"/>
      <c r="B119" s="161"/>
      <c r="C119" s="144"/>
      <c r="D119" s="144"/>
      <c r="E119" s="144"/>
      <c r="F119" s="144"/>
    </row>
    <row r="120" ht="15.75" customHeight="1">
      <c r="A120" s="147"/>
      <c r="B120" s="161"/>
      <c r="C120" s="144"/>
      <c r="D120" s="144"/>
      <c r="E120" s="144"/>
      <c r="F120" s="144"/>
    </row>
    <row r="121" ht="15.75" customHeight="1">
      <c r="A121" s="147"/>
      <c r="B121" s="161"/>
      <c r="C121" s="144"/>
      <c r="D121" s="144"/>
      <c r="E121" s="144"/>
      <c r="F121" s="144"/>
    </row>
    <row r="122" ht="15.75" customHeight="1">
      <c r="A122" s="147"/>
      <c r="B122" s="161"/>
      <c r="C122" s="144"/>
      <c r="D122" s="144"/>
      <c r="E122" s="144"/>
      <c r="F122" s="144"/>
    </row>
    <row r="123" ht="15.75" customHeight="1">
      <c r="A123" s="147"/>
      <c r="B123" s="161"/>
      <c r="C123" s="144"/>
      <c r="D123" s="144"/>
      <c r="E123" s="144"/>
      <c r="F123" s="144"/>
    </row>
    <row r="124" ht="15.75" customHeight="1">
      <c r="A124" s="147"/>
      <c r="B124" s="161"/>
      <c r="C124" s="144"/>
      <c r="D124" s="144"/>
      <c r="E124" s="144"/>
      <c r="F124" s="144"/>
    </row>
    <row r="125" ht="15.75" customHeight="1">
      <c r="A125" s="147"/>
      <c r="B125" s="161"/>
      <c r="C125" s="144"/>
      <c r="D125" s="144"/>
      <c r="E125" s="144"/>
      <c r="F125" s="144"/>
    </row>
    <row r="126" ht="15.75" customHeight="1">
      <c r="A126" s="147"/>
      <c r="B126" s="161"/>
      <c r="C126" s="144"/>
      <c r="D126" s="144"/>
      <c r="E126" s="144"/>
      <c r="F126" s="144"/>
    </row>
    <row r="127" ht="15.75" customHeight="1">
      <c r="A127" s="147"/>
      <c r="B127" s="161"/>
      <c r="C127" s="144"/>
      <c r="D127" s="144"/>
      <c r="E127" s="144"/>
      <c r="F127" s="144"/>
    </row>
    <row r="128" ht="15.75" customHeight="1">
      <c r="A128" s="160"/>
      <c r="F128" s="144"/>
    </row>
    <row r="129" ht="15.75" customHeight="1">
      <c r="A129" s="160"/>
    </row>
    <row r="130" ht="15.75" customHeight="1">
      <c r="A130" s="160"/>
    </row>
    <row r="131" ht="15.75" customHeight="1">
      <c r="A131" s="160"/>
    </row>
    <row r="132" ht="15.75" customHeight="1">
      <c r="A132" s="160"/>
    </row>
    <row r="133" ht="15.75" customHeight="1">
      <c r="A133" s="160"/>
    </row>
    <row r="134" ht="15.75" customHeight="1">
      <c r="A134" s="160"/>
    </row>
    <row r="135" ht="15.75" customHeight="1">
      <c r="A135" s="160"/>
    </row>
    <row r="136" ht="15.75" customHeight="1">
      <c r="A136" s="160"/>
    </row>
    <row r="137" ht="15.75" customHeight="1">
      <c r="A137" s="160"/>
    </row>
    <row r="138" ht="15.75" customHeight="1">
      <c r="A138" s="160"/>
    </row>
    <row r="139" ht="15.75" customHeight="1">
      <c r="A139" s="160"/>
    </row>
    <row r="140" ht="15.75" customHeight="1">
      <c r="A140" s="160"/>
    </row>
    <row r="141" ht="15.75" customHeight="1">
      <c r="A141" s="160"/>
    </row>
    <row r="142" ht="15.75" customHeight="1">
      <c r="A142" s="160"/>
    </row>
    <row r="143" ht="15.75" customHeight="1">
      <c r="A143" s="160"/>
    </row>
    <row r="144" ht="15.75" customHeight="1">
      <c r="A144" s="160"/>
    </row>
    <row r="145" ht="15.75" customHeight="1">
      <c r="A145" s="160"/>
    </row>
    <row r="146" ht="15.75" customHeight="1">
      <c r="A146" s="160"/>
    </row>
    <row r="147" ht="15.75" customHeight="1">
      <c r="A147" s="160"/>
    </row>
    <row r="148" ht="15.75" customHeight="1">
      <c r="A148" s="160"/>
    </row>
    <row r="149" ht="15.75" customHeight="1">
      <c r="A149" s="160"/>
    </row>
    <row r="150" ht="15.75" customHeight="1">
      <c r="A150" s="160"/>
    </row>
    <row r="151" ht="15.75" customHeight="1">
      <c r="A151" s="160"/>
    </row>
    <row r="152" ht="15.75" customHeight="1">
      <c r="A152" s="160"/>
    </row>
    <row r="153" ht="15.75" customHeight="1">
      <c r="A153" s="160"/>
    </row>
    <row r="154" ht="15.75" customHeight="1">
      <c r="A154" s="160"/>
    </row>
    <row r="155" ht="15.75" customHeight="1">
      <c r="A155" s="160"/>
    </row>
    <row r="156" ht="15.75" customHeight="1">
      <c r="A156" s="160"/>
    </row>
    <row r="157" ht="15.75" customHeight="1">
      <c r="A157" s="160"/>
    </row>
    <row r="158" ht="15.75" customHeight="1">
      <c r="A158" s="160"/>
    </row>
    <row r="159" ht="15.75" customHeight="1">
      <c r="A159" s="160"/>
    </row>
    <row r="160" ht="15.75" customHeight="1">
      <c r="A160" s="160"/>
    </row>
    <row r="161" ht="15.75" customHeight="1">
      <c r="A161" s="160"/>
    </row>
    <row r="162" ht="15.75" customHeight="1">
      <c r="A162" s="160"/>
    </row>
    <row r="163" ht="15.75" customHeight="1">
      <c r="A163" s="160"/>
    </row>
    <row r="164" ht="15.75" customHeight="1">
      <c r="A164" s="160"/>
    </row>
    <row r="165" ht="15.75" customHeight="1">
      <c r="A165" s="160"/>
    </row>
    <row r="166" ht="15.75" customHeight="1">
      <c r="A166" s="160"/>
    </row>
    <row r="167" ht="15.75" customHeight="1">
      <c r="A167" s="160"/>
    </row>
    <row r="168" ht="15.75" customHeight="1">
      <c r="A168" s="160"/>
    </row>
    <row r="169" ht="15.75" customHeight="1">
      <c r="A169" s="160"/>
    </row>
    <row r="170" ht="15.75" customHeight="1">
      <c r="A170" s="160"/>
    </row>
    <row r="171" ht="15.75" customHeight="1">
      <c r="A171" s="160"/>
    </row>
    <row r="172" ht="15.75" customHeight="1">
      <c r="A172" s="160"/>
    </row>
    <row r="173" ht="15.75" customHeight="1">
      <c r="A173" s="160"/>
    </row>
    <row r="174" ht="15.75" customHeight="1">
      <c r="A174" s="160"/>
    </row>
    <row r="175" ht="15.75" customHeight="1">
      <c r="A175" s="160"/>
    </row>
    <row r="176" ht="15.75" customHeight="1">
      <c r="A176" s="160"/>
    </row>
    <row r="177" ht="15.75" customHeight="1">
      <c r="A177" s="160"/>
    </row>
    <row r="178" ht="15.75" customHeight="1">
      <c r="A178" s="160"/>
    </row>
    <row r="179" ht="15.75" customHeight="1">
      <c r="A179" s="160"/>
    </row>
    <row r="180" ht="15.75" customHeight="1">
      <c r="A180" s="160"/>
    </row>
    <row r="181" ht="15.75" customHeight="1">
      <c r="A181" s="160"/>
    </row>
    <row r="182" ht="15.75" customHeight="1">
      <c r="A182" s="160"/>
    </row>
    <row r="183" ht="15.75" customHeight="1">
      <c r="A183" s="160"/>
    </row>
    <row r="184" ht="15.75" customHeight="1">
      <c r="A184" s="160"/>
    </row>
    <row r="185" ht="15.75" customHeight="1">
      <c r="A185" s="160"/>
    </row>
    <row r="186" ht="15.75" customHeight="1">
      <c r="A186" s="160"/>
    </row>
    <row r="187" ht="15.75" customHeight="1">
      <c r="A187" s="160"/>
    </row>
    <row r="188" ht="15.75" customHeight="1">
      <c r="A188" s="160"/>
    </row>
    <row r="189" ht="15.75" customHeight="1">
      <c r="A189" s="160"/>
    </row>
    <row r="190" ht="15.75" customHeight="1">
      <c r="A190" s="160"/>
    </row>
    <row r="191" ht="15.75" customHeight="1">
      <c r="A191" s="160"/>
    </row>
    <row r="192" ht="15.75" customHeight="1">
      <c r="A192" s="160"/>
    </row>
    <row r="193" ht="15.75" customHeight="1">
      <c r="A193" s="160"/>
    </row>
    <row r="194" ht="15.75" customHeight="1">
      <c r="A194" s="160"/>
    </row>
    <row r="195" ht="15.75" customHeight="1">
      <c r="A195" s="160"/>
    </row>
    <row r="196" ht="15.75" customHeight="1">
      <c r="A196" s="160"/>
    </row>
    <row r="197" ht="15.75" customHeight="1">
      <c r="A197" s="160"/>
    </row>
    <row r="198" ht="15.75" customHeight="1">
      <c r="A198" s="160"/>
    </row>
    <row r="199" ht="15.75" customHeight="1">
      <c r="A199" s="160"/>
    </row>
    <row r="200" ht="15.75" customHeight="1">
      <c r="A200" s="160"/>
    </row>
    <row r="201" ht="15.75" customHeight="1">
      <c r="A201" s="160"/>
    </row>
    <row r="202" ht="15.75" customHeight="1">
      <c r="A202" s="160"/>
    </row>
    <row r="203" ht="15.75" customHeight="1">
      <c r="A203" s="160"/>
    </row>
    <row r="204" ht="15.75" customHeight="1">
      <c r="A204" s="160"/>
    </row>
    <row r="205" ht="15.75" customHeight="1">
      <c r="A205" s="160"/>
    </row>
    <row r="206" ht="15.75" customHeight="1">
      <c r="A206" s="160"/>
    </row>
    <row r="207" ht="15.75" customHeight="1">
      <c r="A207" s="160"/>
    </row>
    <row r="208" ht="15.75" customHeight="1">
      <c r="A208" s="160"/>
    </row>
    <row r="209" ht="15.75" customHeight="1">
      <c r="A209" s="160"/>
    </row>
    <row r="210" ht="15.75" customHeight="1">
      <c r="A210" s="160"/>
    </row>
    <row r="211" ht="15.75" customHeight="1">
      <c r="A211" s="160"/>
    </row>
    <row r="212" ht="15.75" customHeight="1">
      <c r="A212" s="160"/>
    </row>
    <row r="213" ht="15.75" customHeight="1">
      <c r="A213" s="160"/>
    </row>
    <row r="214" ht="15.75" customHeight="1">
      <c r="A214" s="160"/>
    </row>
    <row r="215" ht="15.75" customHeight="1">
      <c r="A215" s="160"/>
    </row>
    <row r="216" ht="15.75" customHeight="1">
      <c r="A216" s="160"/>
    </row>
    <row r="217" ht="15.75" customHeight="1">
      <c r="A217" s="160"/>
    </row>
    <row r="218" ht="15.75" customHeight="1">
      <c r="A218" s="160"/>
    </row>
    <row r="219" ht="15.75" customHeight="1">
      <c r="A219" s="160"/>
    </row>
    <row r="220" ht="15.75" customHeight="1">
      <c r="A220" s="160"/>
    </row>
    <row r="221" ht="15.75" customHeight="1">
      <c r="A221" s="160"/>
    </row>
    <row r="222" ht="15.75" customHeight="1">
      <c r="A222" s="160"/>
    </row>
    <row r="223" ht="15.75" customHeight="1">
      <c r="A223" s="160"/>
    </row>
    <row r="224" ht="15.75" customHeight="1">
      <c r="A224" s="160"/>
    </row>
    <row r="225" ht="15.75" customHeight="1">
      <c r="A225" s="160"/>
    </row>
    <row r="226" ht="15.75" customHeight="1">
      <c r="A226" s="160"/>
    </row>
    <row r="227" ht="15.75" customHeight="1">
      <c r="A227" s="160"/>
    </row>
    <row r="228" ht="15.75" customHeight="1">
      <c r="A228" s="160"/>
    </row>
    <row r="229" ht="15.75" customHeight="1">
      <c r="A229" s="160"/>
    </row>
    <row r="230" ht="15.75" customHeight="1">
      <c r="A230" s="160"/>
    </row>
    <row r="231" ht="15.75" customHeight="1">
      <c r="A231" s="160"/>
    </row>
    <row r="232" ht="15.75" customHeight="1">
      <c r="A232" s="160"/>
    </row>
    <row r="233" ht="15.75" customHeight="1">
      <c r="A233" s="160"/>
    </row>
    <row r="234" ht="15.75" customHeight="1">
      <c r="A234" s="160"/>
    </row>
    <row r="235" ht="15.75" customHeight="1">
      <c r="A235" s="160"/>
    </row>
    <row r="236" ht="15.75" customHeight="1">
      <c r="A236" s="160"/>
    </row>
    <row r="237" ht="15.75" customHeight="1">
      <c r="A237" s="160"/>
    </row>
    <row r="238" ht="15.75" customHeight="1">
      <c r="A238" s="160"/>
    </row>
    <row r="239" ht="15.75" customHeight="1">
      <c r="A239" s="160"/>
    </row>
    <row r="240" ht="15.75" customHeight="1">
      <c r="A240" s="160"/>
    </row>
    <row r="241" ht="15.75" customHeight="1">
      <c r="A241" s="160"/>
    </row>
    <row r="242" ht="15.75" customHeight="1">
      <c r="A242" s="160"/>
    </row>
    <row r="243" ht="15.75" customHeight="1">
      <c r="A243" s="160"/>
    </row>
    <row r="244" ht="15.75" customHeight="1">
      <c r="A244" s="160"/>
    </row>
    <row r="245" ht="15.75" customHeight="1">
      <c r="A245" s="160"/>
    </row>
    <row r="246" ht="15.75" customHeight="1">
      <c r="A246" s="160"/>
    </row>
    <row r="247" ht="15.75" customHeight="1">
      <c r="A247" s="160"/>
    </row>
    <row r="248" ht="15.75" customHeight="1">
      <c r="A248" s="160"/>
    </row>
    <row r="249" ht="15.75" customHeight="1">
      <c r="A249" s="160"/>
    </row>
    <row r="250" ht="15.75" customHeight="1">
      <c r="A250" s="160"/>
    </row>
    <row r="251" ht="15.75" customHeight="1">
      <c r="A251" s="160"/>
    </row>
    <row r="252" ht="15.75" customHeight="1">
      <c r="A252" s="160"/>
    </row>
    <row r="253" ht="15.75" customHeight="1">
      <c r="A253" s="160"/>
    </row>
    <row r="254" ht="15.75" customHeight="1">
      <c r="A254" s="160"/>
    </row>
    <row r="255" ht="15.75" customHeight="1">
      <c r="A255" s="160"/>
    </row>
    <row r="256" ht="15.75" customHeight="1">
      <c r="A256" s="160"/>
    </row>
    <row r="257" ht="15.75" customHeight="1">
      <c r="A257" s="160"/>
    </row>
    <row r="258" ht="15.75" customHeight="1">
      <c r="A258" s="160"/>
    </row>
    <row r="259" ht="15.75" customHeight="1">
      <c r="A259" s="160"/>
    </row>
    <row r="260" ht="15.75" customHeight="1">
      <c r="A260" s="160"/>
    </row>
    <row r="261" ht="15.75" customHeight="1">
      <c r="A261" s="160"/>
    </row>
    <row r="262" ht="15.75" customHeight="1">
      <c r="A262" s="160"/>
    </row>
    <row r="263" ht="15.75" customHeight="1">
      <c r="A263" s="160"/>
    </row>
    <row r="264" ht="15.75" customHeight="1">
      <c r="A264" s="160"/>
    </row>
    <row r="265" ht="15.75" customHeight="1">
      <c r="A265" s="160"/>
    </row>
    <row r="266" ht="15.75" customHeight="1">
      <c r="A266" s="160"/>
    </row>
    <row r="267" ht="15.75" customHeight="1">
      <c r="A267" s="160"/>
    </row>
    <row r="268" ht="15.75" customHeight="1">
      <c r="A268" s="160"/>
    </row>
    <row r="269" ht="15.75" customHeight="1">
      <c r="A269" s="160"/>
    </row>
    <row r="270" ht="15.75" customHeight="1">
      <c r="A270" s="160"/>
    </row>
    <row r="271" ht="15.75" customHeight="1">
      <c r="A271" s="160"/>
    </row>
    <row r="272" ht="15.75" customHeight="1">
      <c r="A272" s="160"/>
    </row>
    <row r="273" ht="15.75" customHeight="1">
      <c r="A273" s="160"/>
    </row>
    <row r="274" ht="15.75" customHeight="1">
      <c r="A274" s="160"/>
    </row>
    <row r="275" ht="15.75" customHeight="1">
      <c r="A275" s="160"/>
    </row>
    <row r="276" ht="15.75" customHeight="1">
      <c r="A276" s="160"/>
    </row>
    <row r="277" ht="15.75" customHeight="1">
      <c r="A277" s="160"/>
    </row>
    <row r="278" ht="15.75" customHeight="1">
      <c r="A278" s="160"/>
    </row>
    <row r="279" ht="15.75" customHeight="1">
      <c r="A279" s="160"/>
    </row>
    <row r="280" ht="15.75" customHeight="1">
      <c r="A280" s="160"/>
    </row>
    <row r="281" ht="15.75" customHeight="1">
      <c r="A281" s="160"/>
    </row>
    <row r="282" ht="15.75" customHeight="1">
      <c r="A282" s="160"/>
    </row>
    <row r="283" ht="15.75" customHeight="1">
      <c r="A283" s="160"/>
    </row>
    <row r="284" ht="15.75" customHeight="1">
      <c r="A284" s="160"/>
    </row>
    <row r="285" ht="15.75" customHeight="1">
      <c r="A285" s="160"/>
    </row>
    <row r="286" ht="15.75" customHeight="1">
      <c r="A286" s="160"/>
    </row>
    <row r="287" ht="15.75" customHeight="1">
      <c r="A287" s="160"/>
    </row>
    <row r="288" ht="15.75" customHeight="1">
      <c r="A288" s="160"/>
    </row>
    <row r="289" ht="15.75" customHeight="1">
      <c r="A289" s="160"/>
    </row>
    <row r="290" ht="15.75" customHeight="1">
      <c r="A290" s="160"/>
    </row>
    <row r="291" ht="15.75" customHeight="1">
      <c r="A291" s="160"/>
    </row>
    <row r="292" ht="15.75" customHeight="1">
      <c r="A292" s="160"/>
    </row>
    <row r="293" ht="15.75" customHeight="1">
      <c r="A293" s="160"/>
    </row>
    <row r="294" ht="15.75" customHeight="1">
      <c r="A294" s="160"/>
    </row>
    <row r="295" ht="15.75" customHeight="1">
      <c r="A295" s="160"/>
    </row>
    <row r="296" ht="15.75" customHeight="1">
      <c r="A296" s="160"/>
    </row>
    <row r="297" ht="15.75" customHeight="1">
      <c r="A297" s="160"/>
    </row>
    <row r="298" ht="15.75" customHeight="1">
      <c r="A298" s="160"/>
    </row>
    <row r="299" ht="15.75" customHeight="1">
      <c r="A299" s="160"/>
    </row>
    <row r="300" ht="15.75" customHeight="1">
      <c r="A300" s="160"/>
    </row>
    <row r="301" ht="15.75" customHeight="1">
      <c r="A301" s="160"/>
    </row>
    <row r="302" ht="15.75" customHeight="1">
      <c r="A302" s="160"/>
    </row>
    <row r="303" ht="15.75" customHeight="1">
      <c r="A303" s="160"/>
    </row>
    <row r="304" ht="15.75" customHeight="1">
      <c r="A304" s="160"/>
    </row>
    <row r="305" ht="15.75" customHeight="1">
      <c r="A305" s="160"/>
    </row>
    <row r="306" ht="15.75" customHeight="1">
      <c r="A306" s="160"/>
    </row>
    <row r="307" ht="15.75" customHeight="1">
      <c r="A307" s="160"/>
    </row>
    <row r="308" ht="15.75" customHeight="1">
      <c r="A308" s="160"/>
    </row>
    <row r="309" ht="15.75" customHeight="1">
      <c r="A309" s="160"/>
    </row>
    <row r="310" ht="15.75" customHeight="1">
      <c r="A310" s="160"/>
    </row>
    <row r="311" ht="15.75" customHeight="1">
      <c r="A311" s="160"/>
    </row>
    <row r="312" ht="15.75" customHeight="1">
      <c r="A312" s="160"/>
    </row>
    <row r="313" ht="15.75" customHeight="1">
      <c r="A313" s="160"/>
    </row>
    <row r="314" ht="15.75" customHeight="1">
      <c r="A314" s="160"/>
    </row>
    <row r="315" ht="15.75" customHeight="1">
      <c r="A315" s="160"/>
    </row>
    <row r="316" ht="15.75" customHeight="1">
      <c r="A316" s="160"/>
    </row>
    <row r="317" ht="15.75" customHeight="1">
      <c r="A317" s="160"/>
    </row>
    <row r="318" ht="15.75" customHeight="1">
      <c r="A318" s="160"/>
    </row>
    <row r="319" ht="15.75" customHeight="1">
      <c r="A319" s="160"/>
    </row>
    <row r="320" ht="15.75" customHeight="1">
      <c r="A320" s="160"/>
    </row>
    <row r="321" ht="15.75" customHeight="1">
      <c r="A321" s="160"/>
    </row>
    <row r="322" ht="15.75" customHeight="1">
      <c r="A322" s="160"/>
    </row>
    <row r="323" ht="15.75" customHeight="1">
      <c r="A323" s="160"/>
    </row>
    <row r="324" ht="15.75" customHeight="1">
      <c r="A324" s="160"/>
    </row>
    <row r="325" ht="15.75" customHeight="1">
      <c r="A325" s="160"/>
    </row>
    <row r="326" ht="15.75" customHeight="1">
      <c r="A326" s="160"/>
    </row>
    <row r="327" ht="15.75" customHeight="1">
      <c r="A327" s="160"/>
    </row>
    <row r="328" ht="15.75" customHeight="1">
      <c r="A328" s="160"/>
    </row>
    <row r="329" ht="15.75" customHeight="1">
      <c r="A329" s="160"/>
    </row>
    <row r="330" ht="15.75" customHeight="1">
      <c r="A330" s="160"/>
    </row>
    <row r="331" ht="15.75" customHeight="1">
      <c r="A331" s="160"/>
    </row>
    <row r="332" ht="15.75" customHeight="1">
      <c r="A332" s="160"/>
    </row>
    <row r="333" ht="15.75" customHeight="1">
      <c r="A333" s="160"/>
    </row>
    <row r="334" ht="15.75" customHeight="1">
      <c r="A334" s="160"/>
    </row>
    <row r="335" ht="15.75" customHeight="1">
      <c r="A335" s="160"/>
    </row>
    <row r="336" ht="15.75" customHeight="1">
      <c r="A336" s="160"/>
    </row>
    <row r="337" ht="15.75" customHeight="1">
      <c r="A337" s="160"/>
    </row>
    <row r="338" ht="15.75" customHeight="1">
      <c r="A338" s="160"/>
    </row>
    <row r="339" ht="15.75" customHeight="1">
      <c r="A339" s="160"/>
    </row>
    <row r="340" ht="15.75" customHeight="1">
      <c r="A340" s="160"/>
    </row>
    <row r="341" ht="15.75" customHeight="1">
      <c r="A341" s="160"/>
    </row>
    <row r="342" ht="15.75" customHeight="1">
      <c r="A342" s="160"/>
    </row>
    <row r="343" ht="15.75" customHeight="1">
      <c r="A343" s="160"/>
    </row>
    <row r="344" ht="15.75" customHeight="1">
      <c r="A344" s="160"/>
    </row>
    <row r="345" ht="15.75" customHeight="1">
      <c r="A345" s="160"/>
    </row>
    <row r="346" ht="15.75" customHeight="1">
      <c r="A346" s="160"/>
    </row>
    <row r="347" ht="15.75" customHeight="1">
      <c r="A347" s="160"/>
    </row>
    <row r="348" ht="15.75" customHeight="1">
      <c r="A348" s="160"/>
    </row>
    <row r="349" ht="15.75" customHeight="1">
      <c r="A349" s="160"/>
    </row>
    <row r="350" ht="15.75" customHeight="1">
      <c r="A350" s="160"/>
    </row>
    <row r="351" ht="15.75" customHeight="1">
      <c r="A351" s="160"/>
    </row>
    <row r="352" ht="15.75" customHeight="1">
      <c r="A352" s="160"/>
    </row>
    <row r="353" ht="15.75" customHeight="1">
      <c r="A353" s="160"/>
    </row>
    <row r="354" ht="15.75" customHeight="1">
      <c r="A354" s="160"/>
    </row>
    <row r="355" ht="15.75" customHeight="1">
      <c r="A355" s="160"/>
    </row>
    <row r="356" ht="15.75" customHeight="1">
      <c r="A356" s="160"/>
    </row>
    <row r="357" ht="15.75" customHeight="1">
      <c r="A357" s="160"/>
    </row>
    <row r="358" ht="15.75" customHeight="1">
      <c r="A358" s="160"/>
    </row>
    <row r="359" ht="15.75" customHeight="1">
      <c r="A359" s="160"/>
    </row>
    <row r="360" ht="15.75" customHeight="1">
      <c r="A360" s="160"/>
    </row>
    <row r="361" ht="15.75" customHeight="1">
      <c r="A361" s="160"/>
    </row>
    <row r="362" ht="15.75" customHeight="1">
      <c r="A362" s="160"/>
    </row>
    <row r="363" ht="15.75" customHeight="1">
      <c r="A363" s="160"/>
    </row>
    <row r="364" ht="15.75" customHeight="1">
      <c r="A364" s="160"/>
    </row>
    <row r="365" ht="15.75" customHeight="1">
      <c r="A365" s="160"/>
    </row>
    <row r="366" ht="15.75" customHeight="1">
      <c r="A366" s="160"/>
    </row>
    <row r="367" ht="15.75" customHeight="1">
      <c r="A367" s="160"/>
    </row>
    <row r="368" ht="15.75" customHeight="1">
      <c r="A368" s="160"/>
    </row>
    <row r="369" ht="15.75" customHeight="1">
      <c r="A369" s="160"/>
    </row>
    <row r="370" ht="15.75" customHeight="1">
      <c r="A370" s="160"/>
    </row>
    <row r="371" ht="15.75" customHeight="1">
      <c r="A371" s="160"/>
    </row>
    <row r="372" ht="15.75" customHeight="1">
      <c r="A372" s="160"/>
    </row>
    <row r="373" ht="15.75" customHeight="1">
      <c r="A373" s="160"/>
    </row>
    <row r="374" ht="15.75" customHeight="1">
      <c r="A374" s="160"/>
    </row>
    <row r="375" ht="15.75" customHeight="1">
      <c r="A375" s="160"/>
    </row>
    <row r="376" ht="15.75" customHeight="1">
      <c r="A376" s="160"/>
    </row>
    <row r="377" ht="15.75" customHeight="1">
      <c r="A377" s="160"/>
    </row>
    <row r="378" ht="15.75" customHeight="1">
      <c r="A378" s="160"/>
    </row>
    <row r="379" ht="15.75" customHeight="1">
      <c r="A379" s="160"/>
    </row>
    <row r="380" ht="15.75" customHeight="1">
      <c r="A380" s="160"/>
    </row>
    <row r="381" ht="15.75" customHeight="1">
      <c r="A381" s="160"/>
    </row>
    <row r="382" ht="15.75" customHeight="1">
      <c r="A382" s="160"/>
    </row>
    <row r="383" ht="15.75" customHeight="1">
      <c r="A383" s="160"/>
    </row>
    <row r="384" ht="15.75" customHeight="1">
      <c r="A384" s="160"/>
    </row>
    <row r="385" ht="15.75" customHeight="1">
      <c r="A385" s="160"/>
    </row>
    <row r="386" ht="15.75" customHeight="1">
      <c r="A386" s="160"/>
    </row>
    <row r="387" ht="15.75" customHeight="1">
      <c r="A387" s="160"/>
    </row>
    <row r="388" ht="15.75" customHeight="1">
      <c r="A388" s="160"/>
    </row>
    <row r="389" ht="15.75" customHeight="1">
      <c r="A389" s="160"/>
    </row>
    <row r="390" ht="15.75" customHeight="1">
      <c r="A390" s="160"/>
    </row>
    <row r="391" ht="15.75" customHeight="1">
      <c r="A391" s="160"/>
    </row>
    <row r="392" ht="15.75" customHeight="1">
      <c r="A392" s="160"/>
    </row>
    <row r="393" ht="15.75" customHeight="1">
      <c r="A393" s="160"/>
    </row>
    <row r="394" ht="15.75" customHeight="1">
      <c r="A394" s="160"/>
    </row>
    <row r="395" ht="15.75" customHeight="1">
      <c r="A395" s="160"/>
    </row>
    <row r="396" ht="15.75" customHeight="1">
      <c r="A396" s="160"/>
    </row>
    <row r="397" ht="15.75" customHeight="1">
      <c r="A397" s="160"/>
    </row>
    <row r="398" ht="15.75" customHeight="1">
      <c r="A398" s="160"/>
    </row>
    <row r="399" ht="15.75" customHeight="1">
      <c r="A399" s="160"/>
    </row>
    <row r="400" ht="15.75" customHeight="1">
      <c r="A400" s="160"/>
    </row>
    <row r="401" ht="15.75" customHeight="1">
      <c r="A401" s="160"/>
    </row>
    <row r="402" ht="15.75" customHeight="1">
      <c r="A402" s="160"/>
    </row>
    <row r="403" ht="15.75" customHeight="1">
      <c r="A403" s="160"/>
    </row>
    <row r="404" ht="15.75" customHeight="1">
      <c r="A404" s="160"/>
    </row>
    <row r="405" ht="15.75" customHeight="1">
      <c r="A405" s="160"/>
    </row>
    <row r="406" ht="15.75" customHeight="1">
      <c r="A406" s="160"/>
    </row>
    <row r="407" ht="15.75" customHeight="1">
      <c r="A407" s="160"/>
    </row>
    <row r="408" ht="15.75" customHeight="1">
      <c r="A408" s="160"/>
    </row>
    <row r="409" ht="15.75" customHeight="1">
      <c r="A409" s="160"/>
    </row>
    <row r="410" ht="15.75" customHeight="1">
      <c r="A410" s="160"/>
    </row>
    <row r="411" ht="15.75" customHeight="1">
      <c r="A411" s="160"/>
    </row>
    <row r="412" ht="15.75" customHeight="1">
      <c r="A412" s="160"/>
    </row>
    <row r="413" ht="15.75" customHeight="1">
      <c r="A413" s="160"/>
    </row>
    <row r="414" ht="15.75" customHeight="1">
      <c r="A414" s="160"/>
    </row>
    <row r="415" ht="15.75" customHeight="1">
      <c r="A415" s="160"/>
    </row>
    <row r="416" ht="15.75" customHeight="1">
      <c r="A416" s="160"/>
    </row>
    <row r="417" ht="15.75" customHeight="1">
      <c r="A417" s="160"/>
    </row>
    <row r="418" ht="15.75" customHeight="1">
      <c r="A418" s="160"/>
    </row>
    <row r="419" ht="15.75" customHeight="1">
      <c r="A419" s="160"/>
    </row>
    <row r="420" ht="15.75" customHeight="1">
      <c r="A420" s="160"/>
    </row>
    <row r="421" ht="15.75" customHeight="1">
      <c r="A421" s="160"/>
    </row>
    <row r="422" ht="15.75" customHeight="1">
      <c r="A422" s="160"/>
    </row>
    <row r="423" ht="15.75" customHeight="1">
      <c r="A423" s="160"/>
    </row>
    <row r="424" ht="15.75" customHeight="1">
      <c r="A424" s="160"/>
    </row>
    <row r="425" ht="15.75" customHeight="1">
      <c r="A425" s="160"/>
    </row>
    <row r="426" ht="15.75" customHeight="1">
      <c r="A426" s="160"/>
    </row>
    <row r="427" ht="15.75" customHeight="1">
      <c r="A427" s="160"/>
    </row>
    <row r="428" ht="15.75" customHeight="1">
      <c r="A428" s="160"/>
    </row>
    <row r="429" ht="15.75" customHeight="1">
      <c r="A429" s="160"/>
    </row>
    <row r="430" ht="15.75" customHeight="1">
      <c r="A430" s="160"/>
    </row>
    <row r="431" ht="15.75" customHeight="1">
      <c r="A431" s="160"/>
    </row>
    <row r="432" ht="15.75" customHeight="1">
      <c r="A432" s="160"/>
    </row>
    <row r="433" ht="15.75" customHeight="1">
      <c r="A433" s="160"/>
    </row>
    <row r="434" ht="15.75" customHeight="1">
      <c r="A434" s="160"/>
    </row>
    <row r="435" ht="15.75" customHeight="1">
      <c r="A435" s="160"/>
    </row>
    <row r="436" ht="15.75" customHeight="1">
      <c r="A436" s="160"/>
    </row>
    <row r="437" ht="15.75" customHeight="1">
      <c r="A437" s="160"/>
    </row>
    <row r="438" ht="15.75" customHeight="1">
      <c r="A438" s="160"/>
    </row>
    <row r="439" ht="15.75" customHeight="1">
      <c r="A439" s="160"/>
    </row>
    <row r="440" ht="15.75" customHeight="1">
      <c r="A440" s="160"/>
    </row>
    <row r="441" ht="15.75" customHeight="1">
      <c r="A441" s="160"/>
    </row>
    <row r="442" ht="15.75" customHeight="1">
      <c r="A442" s="160"/>
    </row>
    <row r="443" ht="15.75" customHeight="1">
      <c r="A443" s="160"/>
    </row>
    <row r="444" ht="15.75" customHeight="1">
      <c r="A444" s="160"/>
    </row>
    <row r="445" ht="15.75" customHeight="1">
      <c r="A445" s="160"/>
    </row>
    <row r="446" ht="15.75" customHeight="1">
      <c r="A446" s="160"/>
    </row>
    <row r="447" ht="15.75" customHeight="1">
      <c r="A447" s="160"/>
    </row>
    <row r="448" ht="15.75" customHeight="1">
      <c r="A448" s="160"/>
    </row>
    <row r="449" ht="15.75" customHeight="1">
      <c r="A449" s="160"/>
    </row>
    <row r="450" ht="15.75" customHeight="1">
      <c r="A450" s="160"/>
    </row>
    <row r="451" ht="15.75" customHeight="1">
      <c r="A451" s="160"/>
    </row>
    <row r="452" ht="15.75" customHeight="1">
      <c r="A452" s="160"/>
    </row>
    <row r="453" ht="15.75" customHeight="1">
      <c r="A453" s="160"/>
    </row>
    <row r="454" ht="15.75" customHeight="1">
      <c r="A454" s="160"/>
    </row>
    <row r="455" ht="15.75" customHeight="1">
      <c r="A455" s="160"/>
    </row>
    <row r="456" ht="15.75" customHeight="1">
      <c r="A456" s="160"/>
    </row>
    <row r="457" ht="15.75" customHeight="1">
      <c r="A457" s="160"/>
    </row>
    <row r="458" ht="15.75" customHeight="1">
      <c r="A458" s="160"/>
    </row>
    <row r="459" ht="15.75" customHeight="1">
      <c r="A459" s="160"/>
    </row>
    <row r="460" ht="15.75" customHeight="1">
      <c r="A460" s="160"/>
    </row>
    <row r="461" ht="15.75" customHeight="1">
      <c r="A461" s="160"/>
    </row>
    <row r="462" ht="15.75" customHeight="1">
      <c r="A462" s="160"/>
    </row>
    <row r="463" ht="15.75" customHeight="1">
      <c r="A463" s="160"/>
    </row>
    <row r="464" ht="15.75" customHeight="1">
      <c r="A464" s="160"/>
    </row>
    <row r="465" ht="15.75" customHeight="1">
      <c r="A465" s="160"/>
    </row>
    <row r="466" ht="15.75" customHeight="1">
      <c r="A466" s="160"/>
    </row>
    <row r="467" ht="15.75" customHeight="1">
      <c r="A467" s="160"/>
    </row>
    <row r="468" ht="15.75" customHeight="1">
      <c r="A468" s="160"/>
    </row>
    <row r="469" ht="15.75" customHeight="1">
      <c r="A469" s="160"/>
    </row>
    <row r="470" ht="15.75" customHeight="1">
      <c r="A470" s="160"/>
    </row>
    <row r="471" ht="15.75" customHeight="1">
      <c r="A471" s="160"/>
    </row>
    <row r="472" ht="15.75" customHeight="1">
      <c r="A472" s="160"/>
    </row>
    <row r="473" ht="15.75" customHeight="1">
      <c r="A473" s="160"/>
    </row>
    <row r="474" ht="15.75" customHeight="1">
      <c r="A474" s="160"/>
    </row>
    <row r="475" ht="15.75" customHeight="1">
      <c r="A475" s="160"/>
    </row>
    <row r="476" ht="15.75" customHeight="1">
      <c r="A476" s="160"/>
    </row>
    <row r="477" ht="15.75" customHeight="1">
      <c r="A477" s="160"/>
    </row>
    <row r="478" ht="15.75" customHeight="1">
      <c r="A478" s="160"/>
    </row>
    <row r="479" ht="15.75" customHeight="1">
      <c r="A479" s="160"/>
    </row>
    <row r="480" ht="15.75" customHeight="1">
      <c r="A480" s="160"/>
    </row>
    <row r="481" ht="15.75" customHeight="1">
      <c r="A481" s="160"/>
    </row>
    <row r="482" ht="15.75" customHeight="1">
      <c r="A482" s="160"/>
    </row>
    <row r="483" ht="15.75" customHeight="1">
      <c r="A483" s="160"/>
    </row>
    <row r="484" ht="15.75" customHeight="1">
      <c r="A484" s="160"/>
    </row>
    <row r="485" ht="15.75" customHeight="1">
      <c r="A485" s="160"/>
    </row>
    <row r="486" ht="15.75" customHeight="1">
      <c r="A486" s="160"/>
    </row>
    <row r="487" ht="15.75" customHeight="1">
      <c r="A487" s="160"/>
    </row>
    <row r="488" ht="15.75" customHeight="1">
      <c r="A488" s="160"/>
    </row>
    <row r="489" ht="15.75" customHeight="1">
      <c r="A489" s="160"/>
    </row>
    <row r="490" ht="15.75" customHeight="1">
      <c r="A490" s="160"/>
    </row>
    <row r="491" ht="15.75" customHeight="1">
      <c r="A491" s="160"/>
    </row>
    <row r="492" ht="15.75" customHeight="1">
      <c r="A492" s="160"/>
    </row>
    <row r="493" ht="15.75" customHeight="1">
      <c r="A493" s="160"/>
    </row>
    <row r="494" ht="15.75" customHeight="1">
      <c r="A494" s="160"/>
    </row>
    <row r="495" ht="15.75" customHeight="1">
      <c r="A495" s="160"/>
    </row>
    <row r="496" ht="15.75" customHeight="1">
      <c r="A496" s="160"/>
    </row>
    <row r="497" ht="15.75" customHeight="1">
      <c r="A497" s="160"/>
    </row>
    <row r="498" ht="15.75" customHeight="1">
      <c r="A498" s="160"/>
    </row>
    <row r="499" ht="15.75" customHeight="1">
      <c r="A499" s="160"/>
    </row>
    <row r="500" ht="15.75" customHeight="1">
      <c r="A500" s="160"/>
    </row>
    <row r="501" ht="15.75" customHeight="1">
      <c r="A501" s="160"/>
    </row>
    <row r="502" ht="15.75" customHeight="1">
      <c r="A502" s="160"/>
    </row>
    <row r="503" ht="15.75" customHeight="1">
      <c r="A503" s="160"/>
    </row>
    <row r="504" ht="15.75" customHeight="1">
      <c r="A504" s="160"/>
    </row>
    <row r="505" ht="15.75" customHeight="1">
      <c r="A505" s="160"/>
    </row>
    <row r="506" ht="15.75" customHeight="1">
      <c r="A506" s="160"/>
    </row>
    <row r="507" ht="15.75" customHeight="1">
      <c r="A507" s="160"/>
    </row>
    <row r="508" ht="15.75" customHeight="1">
      <c r="A508" s="160"/>
    </row>
    <row r="509" ht="15.75" customHeight="1">
      <c r="A509" s="160"/>
    </row>
    <row r="510" ht="15.75" customHeight="1">
      <c r="A510" s="160"/>
    </row>
    <row r="511" ht="15.75" customHeight="1">
      <c r="A511" s="160"/>
    </row>
    <row r="512" ht="15.75" customHeight="1">
      <c r="A512" s="160"/>
    </row>
    <row r="513" ht="15.75" customHeight="1">
      <c r="A513" s="160"/>
    </row>
    <row r="514" ht="15.75" customHeight="1">
      <c r="A514" s="160"/>
    </row>
    <row r="515" ht="15.75" customHeight="1">
      <c r="A515" s="160"/>
    </row>
    <row r="516" ht="15.75" customHeight="1">
      <c r="A516" s="160"/>
    </row>
    <row r="517" ht="15.75" customHeight="1">
      <c r="A517" s="160"/>
    </row>
    <row r="518" ht="15.75" customHeight="1">
      <c r="A518" s="160"/>
    </row>
    <row r="519" ht="15.75" customHeight="1">
      <c r="A519" s="160"/>
    </row>
    <row r="520" ht="15.75" customHeight="1">
      <c r="A520" s="160"/>
    </row>
    <row r="521" ht="15.75" customHeight="1">
      <c r="A521" s="160"/>
    </row>
    <row r="522" ht="15.75" customHeight="1">
      <c r="A522" s="160"/>
    </row>
    <row r="523" ht="15.75" customHeight="1">
      <c r="A523" s="160"/>
    </row>
    <row r="524" ht="15.75" customHeight="1">
      <c r="A524" s="160"/>
    </row>
    <row r="525" ht="15.75" customHeight="1">
      <c r="A525" s="160"/>
    </row>
    <row r="526" ht="15.75" customHeight="1">
      <c r="A526" s="160"/>
    </row>
    <row r="527" ht="15.75" customHeight="1">
      <c r="A527" s="160"/>
    </row>
    <row r="528" ht="15.75" customHeight="1">
      <c r="A528" s="160"/>
    </row>
    <row r="529" ht="15.75" customHeight="1">
      <c r="A529" s="160"/>
    </row>
    <row r="530" ht="15.75" customHeight="1">
      <c r="A530" s="160"/>
    </row>
    <row r="531" ht="15.75" customHeight="1">
      <c r="A531" s="160"/>
    </row>
    <row r="532" ht="15.75" customHeight="1">
      <c r="A532" s="160"/>
    </row>
    <row r="533" ht="15.75" customHeight="1">
      <c r="A533" s="160"/>
    </row>
    <row r="534" ht="15.75" customHeight="1">
      <c r="A534" s="160"/>
    </row>
    <row r="535" ht="15.75" customHeight="1">
      <c r="A535" s="160"/>
    </row>
    <row r="536" ht="15.75" customHeight="1">
      <c r="A536" s="160"/>
    </row>
    <row r="537" ht="15.75" customHeight="1">
      <c r="A537" s="160"/>
    </row>
    <row r="538" ht="15.75" customHeight="1">
      <c r="A538" s="160"/>
    </row>
    <row r="539" ht="15.75" customHeight="1">
      <c r="A539" s="160"/>
    </row>
    <row r="540" ht="15.75" customHeight="1">
      <c r="A540" s="160"/>
    </row>
    <row r="541" ht="15.75" customHeight="1">
      <c r="A541" s="160"/>
    </row>
    <row r="542" ht="15.75" customHeight="1">
      <c r="A542" s="160"/>
    </row>
    <row r="543" ht="15.75" customHeight="1">
      <c r="A543" s="160"/>
    </row>
    <row r="544" ht="15.75" customHeight="1">
      <c r="A544" s="160"/>
    </row>
    <row r="545" ht="15.75" customHeight="1">
      <c r="A545" s="160"/>
    </row>
    <row r="546" ht="15.75" customHeight="1">
      <c r="A546" s="160"/>
    </row>
    <row r="547" ht="15.75" customHeight="1">
      <c r="A547" s="160"/>
    </row>
    <row r="548" ht="15.75" customHeight="1">
      <c r="A548" s="160"/>
    </row>
    <row r="549" ht="15.75" customHeight="1">
      <c r="A549" s="160"/>
    </row>
    <row r="550" ht="15.75" customHeight="1">
      <c r="A550" s="160"/>
    </row>
    <row r="551" ht="15.75" customHeight="1">
      <c r="A551" s="160"/>
    </row>
    <row r="552" ht="15.75" customHeight="1">
      <c r="A552" s="160"/>
    </row>
    <row r="553" ht="15.75" customHeight="1">
      <c r="A553" s="160"/>
    </row>
    <row r="554" ht="15.75" customHeight="1">
      <c r="A554" s="160"/>
    </row>
    <row r="555" ht="15.75" customHeight="1">
      <c r="A555" s="160"/>
    </row>
    <row r="556" ht="15.75" customHeight="1">
      <c r="A556" s="160"/>
    </row>
    <row r="557" ht="15.75" customHeight="1">
      <c r="A557" s="160"/>
    </row>
    <row r="558" ht="15.75" customHeight="1">
      <c r="A558" s="160"/>
    </row>
    <row r="559" ht="15.75" customHeight="1">
      <c r="A559" s="160"/>
    </row>
    <row r="560" ht="15.75" customHeight="1">
      <c r="A560" s="160"/>
    </row>
    <row r="561" ht="15.75" customHeight="1">
      <c r="A561" s="160"/>
    </row>
    <row r="562" ht="15.75" customHeight="1">
      <c r="A562" s="160"/>
    </row>
    <row r="563" ht="15.75" customHeight="1">
      <c r="A563" s="160"/>
    </row>
    <row r="564" ht="15.75" customHeight="1">
      <c r="A564" s="160"/>
    </row>
    <row r="565" ht="15.75" customHeight="1">
      <c r="A565" s="160"/>
    </row>
    <row r="566" ht="15.75" customHeight="1">
      <c r="A566" s="160"/>
    </row>
    <row r="567" ht="15.75" customHeight="1">
      <c r="A567" s="160"/>
    </row>
    <row r="568" ht="15.75" customHeight="1">
      <c r="A568" s="160"/>
    </row>
    <row r="569" ht="15.75" customHeight="1">
      <c r="A569" s="160"/>
    </row>
    <row r="570" ht="15.75" customHeight="1">
      <c r="A570" s="160"/>
    </row>
    <row r="571" ht="15.75" customHeight="1">
      <c r="A571" s="160"/>
    </row>
    <row r="572" ht="15.75" customHeight="1">
      <c r="A572" s="160"/>
    </row>
    <row r="573" ht="15.75" customHeight="1">
      <c r="A573" s="160"/>
    </row>
    <row r="574" ht="15.75" customHeight="1">
      <c r="A574" s="160"/>
    </row>
    <row r="575" ht="15.75" customHeight="1">
      <c r="A575" s="160"/>
    </row>
    <row r="576" ht="15.75" customHeight="1">
      <c r="A576" s="160"/>
    </row>
    <row r="577" ht="15.75" customHeight="1">
      <c r="A577" s="160"/>
    </row>
    <row r="578" ht="15.75" customHeight="1">
      <c r="A578" s="160"/>
    </row>
    <row r="579" ht="15.75" customHeight="1">
      <c r="A579" s="160"/>
    </row>
    <row r="580" ht="15.75" customHeight="1">
      <c r="A580" s="160"/>
    </row>
    <row r="581" ht="15.75" customHeight="1">
      <c r="A581" s="160"/>
    </row>
    <row r="582" ht="15.75" customHeight="1">
      <c r="A582" s="160"/>
    </row>
    <row r="583" ht="15.75" customHeight="1">
      <c r="A583" s="160"/>
    </row>
    <row r="584" ht="15.75" customHeight="1">
      <c r="A584" s="160"/>
    </row>
    <row r="585" ht="15.75" customHeight="1">
      <c r="A585" s="160"/>
    </row>
    <row r="586" ht="15.75" customHeight="1">
      <c r="A586" s="160"/>
    </row>
    <row r="587" ht="15.75" customHeight="1">
      <c r="A587" s="160"/>
    </row>
    <row r="588" ht="15.75" customHeight="1">
      <c r="A588" s="160"/>
    </row>
    <row r="589" ht="15.75" customHeight="1">
      <c r="A589" s="160"/>
    </row>
    <row r="590" ht="15.75" customHeight="1">
      <c r="A590" s="160"/>
    </row>
    <row r="591" ht="15.75" customHeight="1">
      <c r="A591" s="160"/>
    </row>
    <row r="592" ht="15.75" customHeight="1">
      <c r="A592" s="160"/>
    </row>
    <row r="593" ht="15.75" customHeight="1">
      <c r="A593" s="160"/>
    </row>
    <row r="594" ht="15.75" customHeight="1">
      <c r="A594" s="160"/>
    </row>
    <row r="595" ht="15.75" customHeight="1">
      <c r="A595" s="160"/>
    </row>
    <row r="596" ht="15.75" customHeight="1">
      <c r="A596" s="160"/>
    </row>
    <row r="597" ht="15.75" customHeight="1">
      <c r="A597" s="160"/>
    </row>
    <row r="598" ht="15.75" customHeight="1">
      <c r="A598" s="160"/>
    </row>
    <row r="599" ht="15.75" customHeight="1">
      <c r="A599" s="160"/>
    </row>
    <row r="600" ht="15.75" customHeight="1">
      <c r="A600" s="160"/>
    </row>
    <row r="601" ht="15.75" customHeight="1">
      <c r="A601" s="160"/>
    </row>
    <row r="602" ht="15.75" customHeight="1">
      <c r="A602" s="160"/>
    </row>
    <row r="603" ht="15.75" customHeight="1">
      <c r="A603" s="160"/>
    </row>
    <row r="604" ht="15.75" customHeight="1">
      <c r="A604" s="160"/>
    </row>
    <row r="605" ht="15.75" customHeight="1">
      <c r="A605" s="160"/>
    </row>
    <row r="606" ht="15.75" customHeight="1">
      <c r="A606" s="160"/>
    </row>
    <row r="607" ht="15.75" customHeight="1">
      <c r="A607" s="160"/>
    </row>
    <row r="608" ht="15.75" customHeight="1">
      <c r="A608" s="160"/>
    </row>
    <row r="609" ht="15.75" customHeight="1">
      <c r="A609" s="160"/>
    </row>
    <row r="610" ht="15.75" customHeight="1">
      <c r="A610" s="160"/>
    </row>
    <row r="611" ht="15.75" customHeight="1">
      <c r="A611" s="160"/>
    </row>
    <row r="612" ht="15.75" customHeight="1">
      <c r="A612" s="160"/>
    </row>
    <row r="613" ht="15.75" customHeight="1">
      <c r="A613" s="160"/>
    </row>
    <row r="614" ht="15.75" customHeight="1">
      <c r="A614" s="160"/>
    </row>
    <row r="615" ht="15.75" customHeight="1">
      <c r="A615" s="160"/>
    </row>
    <row r="616" ht="15.75" customHeight="1">
      <c r="A616" s="160"/>
    </row>
    <row r="617" ht="15.75" customHeight="1">
      <c r="A617" s="160"/>
    </row>
    <row r="618" ht="15.75" customHeight="1">
      <c r="A618" s="160"/>
    </row>
    <row r="619" ht="15.75" customHeight="1">
      <c r="A619" s="160"/>
    </row>
    <row r="620" ht="15.75" customHeight="1">
      <c r="A620" s="160"/>
    </row>
    <row r="621" ht="15.75" customHeight="1">
      <c r="A621" s="160"/>
    </row>
    <row r="622" ht="15.75" customHeight="1">
      <c r="A622" s="160"/>
    </row>
    <row r="623" ht="15.75" customHeight="1">
      <c r="A623" s="160"/>
    </row>
    <row r="624" ht="15.75" customHeight="1">
      <c r="A624" s="160"/>
    </row>
    <row r="625" ht="15.75" customHeight="1">
      <c r="A625" s="160"/>
    </row>
    <row r="626" ht="15.75" customHeight="1">
      <c r="A626" s="160"/>
    </row>
    <row r="627" ht="15.75" customHeight="1">
      <c r="A627" s="160"/>
    </row>
    <row r="628" ht="15.75" customHeight="1">
      <c r="A628" s="160"/>
    </row>
    <row r="629" ht="15.75" customHeight="1">
      <c r="A629" s="160"/>
    </row>
    <row r="630" ht="15.75" customHeight="1">
      <c r="A630" s="160"/>
    </row>
    <row r="631" ht="15.75" customHeight="1">
      <c r="A631" s="160"/>
    </row>
    <row r="632" ht="15.75" customHeight="1">
      <c r="A632" s="160"/>
    </row>
    <row r="633" ht="15.75" customHeight="1">
      <c r="A633" s="160"/>
    </row>
    <row r="634" ht="15.75" customHeight="1">
      <c r="A634" s="160"/>
    </row>
    <row r="635" ht="15.75" customHeight="1">
      <c r="A635" s="160"/>
    </row>
    <row r="636" ht="15.75" customHeight="1">
      <c r="A636" s="160"/>
    </row>
    <row r="637" ht="15.75" customHeight="1">
      <c r="A637" s="160"/>
    </row>
    <row r="638" ht="15.75" customHeight="1">
      <c r="A638" s="160"/>
    </row>
    <row r="639" ht="15.75" customHeight="1">
      <c r="A639" s="160"/>
    </row>
    <row r="640" ht="15.75" customHeight="1">
      <c r="A640" s="160"/>
    </row>
    <row r="641" ht="15.75" customHeight="1">
      <c r="A641" s="160"/>
    </row>
    <row r="642" ht="15.75" customHeight="1">
      <c r="A642" s="160"/>
    </row>
    <row r="643" ht="15.75" customHeight="1">
      <c r="A643" s="160"/>
    </row>
    <row r="644" ht="15.75" customHeight="1">
      <c r="A644" s="160"/>
    </row>
    <row r="645" ht="15.75" customHeight="1">
      <c r="A645" s="160"/>
    </row>
    <row r="646" ht="15.75" customHeight="1">
      <c r="A646" s="160"/>
    </row>
    <row r="647" ht="15.75" customHeight="1">
      <c r="A647" s="160"/>
    </row>
    <row r="648" ht="15.75" customHeight="1">
      <c r="A648" s="160"/>
    </row>
    <row r="649" ht="15.75" customHeight="1">
      <c r="A649" s="160"/>
    </row>
    <row r="650" ht="15.75" customHeight="1">
      <c r="A650" s="160"/>
    </row>
    <row r="651" ht="15.75" customHeight="1">
      <c r="A651" s="160"/>
    </row>
    <row r="652" ht="15.75" customHeight="1">
      <c r="A652" s="160"/>
    </row>
    <row r="653" ht="15.75" customHeight="1">
      <c r="A653" s="160"/>
    </row>
    <row r="654" ht="15.75" customHeight="1">
      <c r="A654" s="160"/>
    </row>
    <row r="655" ht="15.75" customHeight="1">
      <c r="A655" s="160"/>
    </row>
    <row r="656" ht="15.75" customHeight="1">
      <c r="A656" s="160"/>
    </row>
    <row r="657" ht="15.75" customHeight="1">
      <c r="A657" s="160"/>
    </row>
    <row r="658" ht="15.75" customHeight="1">
      <c r="A658" s="160"/>
    </row>
    <row r="659" ht="15.75" customHeight="1">
      <c r="A659" s="160"/>
    </row>
    <row r="660" ht="15.75" customHeight="1">
      <c r="A660" s="160"/>
    </row>
    <row r="661" ht="15.75" customHeight="1">
      <c r="A661" s="160"/>
    </row>
    <row r="662" ht="15.75" customHeight="1">
      <c r="A662" s="160"/>
    </row>
    <row r="663" ht="15.75" customHeight="1">
      <c r="A663" s="160"/>
    </row>
    <row r="664" ht="15.75" customHeight="1">
      <c r="A664" s="160"/>
    </row>
    <row r="665" ht="15.75" customHeight="1">
      <c r="A665" s="160"/>
    </row>
    <row r="666" ht="15.75" customHeight="1">
      <c r="A666" s="160"/>
    </row>
    <row r="667" ht="15.75" customHeight="1">
      <c r="A667" s="160"/>
    </row>
    <row r="668" ht="15.75" customHeight="1">
      <c r="A668" s="160"/>
    </row>
    <row r="669" ht="15.75" customHeight="1">
      <c r="A669" s="160"/>
    </row>
    <row r="670" ht="15.75" customHeight="1">
      <c r="A670" s="160"/>
    </row>
    <row r="671" ht="15.75" customHeight="1">
      <c r="A671" s="160"/>
    </row>
    <row r="672" ht="15.75" customHeight="1">
      <c r="A672" s="160"/>
    </row>
    <row r="673" ht="15.75" customHeight="1">
      <c r="A673" s="160"/>
    </row>
    <row r="674" ht="15.75" customHeight="1">
      <c r="A674" s="160"/>
    </row>
    <row r="675" ht="15.75" customHeight="1">
      <c r="A675" s="160"/>
    </row>
    <row r="676" ht="15.75" customHeight="1">
      <c r="A676" s="160"/>
    </row>
    <row r="677" ht="15.75" customHeight="1">
      <c r="A677" s="160"/>
    </row>
    <row r="678" ht="15.75" customHeight="1">
      <c r="A678" s="160"/>
    </row>
    <row r="679" ht="15.75" customHeight="1">
      <c r="A679" s="160"/>
    </row>
    <row r="680" ht="15.75" customHeight="1">
      <c r="A680" s="160"/>
    </row>
    <row r="681" ht="15.75" customHeight="1">
      <c r="A681" s="160"/>
    </row>
    <row r="682" ht="15.75" customHeight="1">
      <c r="A682" s="160"/>
    </row>
    <row r="683" ht="15.75" customHeight="1">
      <c r="A683" s="160"/>
    </row>
    <row r="684" ht="15.75" customHeight="1">
      <c r="A684" s="160"/>
    </row>
    <row r="685" ht="15.75" customHeight="1">
      <c r="A685" s="160"/>
    </row>
    <row r="686" ht="15.75" customHeight="1">
      <c r="A686" s="160"/>
    </row>
    <row r="687" ht="15.75" customHeight="1">
      <c r="A687" s="160"/>
    </row>
    <row r="688" ht="15.75" customHeight="1">
      <c r="A688" s="160"/>
    </row>
    <row r="689" ht="15.75" customHeight="1">
      <c r="A689" s="160"/>
    </row>
    <row r="690" ht="15.75" customHeight="1">
      <c r="A690" s="160"/>
    </row>
    <row r="691" ht="15.75" customHeight="1">
      <c r="A691" s="160"/>
    </row>
    <row r="692" ht="15.75" customHeight="1">
      <c r="A692" s="160"/>
    </row>
    <row r="693" ht="15.75" customHeight="1">
      <c r="A693" s="160"/>
    </row>
    <row r="694" ht="15.75" customHeight="1">
      <c r="A694" s="160"/>
    </row>
    <row r="695" ht="15.75" customHeight="1">
      <c r="A695" s="160"/>
    </row>
    <row r="696" ht="15.75" customHeight="1">
      <c r="A696" s="160"/>
    </row>
    <row r="697" ht="15.75" customHeight="1">
      <c r="A697" s="160"/>
    </row>
    <row r="698" ht="15.75" customHeight="1">
      <c r="A698" s="160"/>
    </row>
    <row r="699" ht="15.75" customHeight="1">
      <c r="A699" s="160"/>
    </row>
    <row r="700" ht="15.75" customHeight="1">
      <c r="A700" s="160"/>
    </row>
    <row r="701" ht="15.75" customHeight="1">
      <c r="A701" s="160"/>
    </row>
    <row r="702" ht="15.75" customHeight="1">
      <c r="A702" s="160"/>
    </row>
    <row r="703" ht="15.75" customHeight="1">
      <c r="A703" s="160"/>
    </row>
    <row r="704" ht="15.75" customHeight="1">
      <c r="A704" s="160"/>
    </row>
    <row r="705" ht="15.75" customHeight="1">
      <c r="A705" s="160"/>
    </row>
    <row r="706" ht="15.75" customHeight="1">
      <c r="A706" s="160"/>
    </row>
    <row r="707" ht="15.75" customHeight="1">
      <c r="A707" s="160"/>
    </row>
    <row r="708" ht="15.75" customHeight="1">
      <c r="A708" s="160"/>
    </row>
    <row r="709" ht="15.75" customHeight="1">
      <c r="A709" s="160"/>
    </row>
    <row r="710" ht="15.75" customHeight="1">
      <c r="A710" s="160"/>
    </row>
    <row r="711" ht="15.75" customHeight="1">
      <c r="A711" s="160"/>
    </row>
    <row r="712" ht="15.75" customHeight="1">
      <c r="A712" s="160"/>
    </row>
    <row r="713" ht="15.75" customHeight="1">
      <c r="A713" s="160"/>
    </row>
    <row r="714" ht="15.75" customHeight="1">
      <c r="A714" s="160"/>
    </row>
    <row r="715" ht="15.75" customHeight="1">
      <c r="A715" s="160"/>
    </row>
    <row r="716" ht="15.75" customHeight="1">
      <c r="A716" s="160"/>
    </row>
    <row r="717" ht="15.75" customHeight="1">
      <c r="A717" s="160"/>
    </row>
    <row r="718" ht="15.75" customHeight="1">
      <c r="A718" s="160"/>
    </row>
    <row r="719" ht="15.75" customHeight="1">
      <c r="A719" s="160"/>
    </row>
    <row r="720" ht="15.75" customHeight="1">
      <c r="A720" s="160"/>
    </row>
    <row r="721" ht="15.75" customHeight="1">
      <c r="A721" s="160"/>
    </row>
    <row r="722" ht="15.75" customHeight="1">
      <c r="A722" s="160"/>
    </row>
    <row r="723" ht="15.75" customHeight="1">
      <c r="A723" s="160"/>
    </row>
    <row r="724" ht="15.75" customHeight="1">
      <c r="A724" s="160"/>
    </row>
    <row r="725" ht="15.75" customHeight="1">
      <c r="A725" s="160"/>
    </row>
    <row r="726" ht="15.75" customHeight="1">
      <c r="A726" s="160"/>
    </row>
    <row r="727" ht="15.75" customHeight="1">
      <c r="A727" s="160"/>
    </row>
    <row r="728" ht="15.75" customHeight="1">
      <c r="A728" s="160"/>
    </row>
    <row r="729" ht="15.75" customHeight="1">
      <c r="A729" s="160"/>
    </row>
    <row r="730" ht="15.75" customHeight="1">
      <c r="A730" s="160"/>
    </row>
    <row r="731" ht="15.75" customHeight="1">
      <c r="A731" s="160"/>
    </row>
    <row r="732" ht="15.75" customHeight="1">
      <c r="A732" s="160"/>
    </row>
    <row r="733" ht="15.75" customHeight="1">
      <c r="A733" s="160"/>
    </row>
    <row r="734" ht="15.75" customHeight="1">
      <c r="A734" s="160"/>
    </row>
    <row r="735" ht="15.75" customHeight="1">
      <c r="A735" s="160"/>
    </row>
    <row r="736" ht="15.75" customHeight="1">
      <c r="A736" s="160"/>
    </row>
    <row r="737" ht="15.75" customHeight="1">
      <c r="A737" s="160"/>
    </row>
    <row r="738" ht="15.75" customHeight="1">
      <c r="A738" s="160"/>
    </row>
    <row r="739" ht="15.75" customHeight="1">
      <c r="A739" s="160"/>
    </row>
    <row r="740" ht="15.75" customHeight="1">
      <c r="A740" s="160"/>
    </row>
    <row r="741" ht="15.75" customHeight="1">
      <c r="A741" s="160"/>
    </row>
    <row r="742" ht="15.75" customHeight="1">
      <c r="A742" s="160"/>
    </row>
    <row r="743" ht="15.75" customHeight="1">
      <c r="A743" s="160"/>
    </row>
    <row r="744" ht="15.75" customHeight="1">
      <c r="A744" s="160"/>
    </row>
    <row r="745" ht="15.75" customHeight="1">
      <c r="A745" s="160"/>
    </row>
    <row r="746" ht="15.75" customHeight="1">
      <c r="A746" s="160"/>
    </row>
    <row r="747" ht="15.75" customHeight="1">
      <c r="A747" s="160"/>
    </row>
    <row r="748" ht="15.75" customHeight="1">
      <c r="A748" s="160"/>
    </row>
    <row r="749" ht="15.75" customHeight="1">
      <c r="A749" s="160"/>
    </row>
    <row r="750" ht="15.75" customHeight="1">
      <c r="A750" s="160"/>
    </row>
    <row r="751" ht="15.75" customHeight="1">
      <c r="A751" s="160"/>
    </row>
    <row r="752" ht="15.75" customHeight="1">
      <c r="A752" s="160"/>
    </row>
    <row r="753" ht="15.75" customHeight="1">
      <c r="A753" s="160"/>
    </row>
    <row r="754" ht="15.75" customHeight="1">
      <c r="A754" s="160"/>
    </row>
    <row r="755" ht="15.75" customHeight="1">
      <c r="A755" s="160"/>
    </row>
    <row r="756" ht="15.75" customHeight="1">
      <c r="A756" s="160"/>
    </row>
    <row r="757" ht="15.75" customHeight="1">
      <c r="A757" s="160"/>
    </row>
    <row r="758" ht="15.75" customHeight="1">
      <c r="A758" s="160"/>
    </row>
    <row r="759" ht="15.75" customHeight="1">
      <c r="A759" s="160"/>
    </row>
    <row r="760" ht="15.75" customHeight="1">
      <c r="A760" s="160"/>
    </row>
    <row r="761" ht="15.75" customHeight="1">
      <c r="A761" s="160"/>
    </row>
    <row r="762" ht="15.75" customHeight="1">
      <c r="A762" s="160"/>
    </row>
    <row r="763" ht="15.75" customHeight="1">
      <c r="A763" s="160"/>
    </row>
    <row r="764" ht="15.75" customHeight="1">
      <c r="A764" s="160"/>
    </row>
    <row r="765" ht="15.75" customHeight="1">
      <c r="A765" s="160"/>
    </row>
    <row r="766" ht="15.75" customHeight="1">
      <c r="A766" s="160"/>
    </row>
    <row r="767" ht="15.75" customHeight="1">
      <c r="A767" s="160"/>
    </row>
    <row r="768" ht="15.75" customHeight="1">
      <c r="A768" s="160"/>
    </row>
    <row r="769" ht="15.75" customHeight="1">
      <c r="A769" s="160"/>
    </row>
    <row r="770" ht="15.75" customHeight="1">
      <c r="A770" s="160"/>
    </row>
    <row r="771" ht="15.75" customHeight="1">
      <c r="A771" s="160"/>
    </row>
    <row r="772" ht="15.75" customHeight="1">
      <c r="A772" s="160"/>
    </row>
    <row r="773" ht="15.75" customHeight="1">
      <c r="A773" s="160"/>
    </row>
    <row r="774" ht="15.75" customHeight="1">
      <c r="A774" s="160"/>
    </row>
    <row r="775" ht="15.75" customHeight="1">
      <c r="A775" s="160"/>
    </row>
    <row r="776" ht="15.75" customHeight="1">
      <c r="A776" s="160"/>
    </row>
    <row r="777" ht="15.75" customHeight="1">
      <c r="A777" s="160"/>
    </row>
    <row r="778" ht="15.75" customHeight="1">
      <c r="A778" s="160"/>
    </row>
    <row r="779" ht="15.75" customHeight="1">
      <c r="A779" s="160"/>
    </row>
    <row r="780" ht="15.75" customHeight="1">
      <c r="A780" s="160"/>
    </row>
    <row r="781" ht="15.75" customHeight="1">
      <c r="A781" s="160"/>
    </row>
    <row r="782" ht="15.75" customHeight="1">
      <c r="A782" s="160"/>
    </row>
    <row r="783" ht="15.75" customHeight="1">
      <c r="A783" s="160"/>
    </row>
    <row r="784" ht="15.75" customHeight="1">
      <c r="A784" s="160"/>
    </row>
    <row r="785" ht="15.75" customHeight="1">
      <c r="A785" s="160"/>
    </row>
    <row r="786" ht="15.75" customHeight="1">
      <c r="A786" s="160"/>
    </row>
    <row r="787" ht="15.75" customHeight="1">
      <c r="A787" s="160"/>
    </row>
    <row r="788" ht="15.75" customHeight="1">
      <c r="A788" s="160"/>
    </row>
    <row r="789" ht="15.75" customHeight="1">
      <c r="A789" s="160"/>
    </row>
    <row r="790" ht="15.75" customHeight="1">
      <c r="A790" s="160"/>
    </row>
    <row r="791" ht="15.75" customHeight="1">
      <c r="A791" s="160"/>
    </row>
    <row r="792" ht="15.75" customHeight="1">
      <c r="A792" s="160"/>
    </row>
    <row r="793" ht="15.75" customHeight="1">
      <c r="A793" s="160"/>
    </row>
    <row r="794" ht="15.75" customHeight="1">
      <c r="A794" s="160"/>
    </row>
    <row r="795" ht="15.75" customHeight="1">
      <c r="A795" s="160"/>
    </row>
    <row r="796" ht="15.75" customHeight="1">
      <c r="A796" s="160"/>
    </row>
    <row r="797" ht="15.75" customHeight="1">
      <c r="A797" s="160"/>
    </row>
    <row r="798" ht="15.75" customHeight="1">
      <c r="A798" s="160"/>
    </row>
    <row r="799" ht="15.75" customHeight="1">
      <c r="A799" s="160"/>
    </row>
    <row r="800" ht="15.75" customHeight="1">
      <c r="A800" s="160"/>
    </row>
    <row r="801" ht="15.75" customHeight="1">
      <c r="A801" s="160"/>
    </row>
    <row r="802" ht="15.75" customHeight="1">
      <c r="A802" s="160"/>
    </row>
    <row r="803" ht="15.75" customHeight="1">
      <c r="A803" s="160"/>
    </row>
    <row r="804" ht="15.75" customHeight="1">
      <c r="A804" s="160"/>
    </row>
    <row r="805" ht="15.75" customHeight="1">
      <c r="A805" s="160"/>
    </row>
    <row r="806" ht="15.75" customHeight="1">
      <c r="A806" s="160"/>
    </row>
    <row r="807" ht="15.75" customHeight="1">
      <c r="A807" s="160"/>
    </row>
    <row r="808" ht="15.75" customHeight="1">
      <c r="A808" s="160"/>
    </row>
    <row r="809" ht="15.75" customHeight="1">
      <c r="A809" s="160"/>
    </row>
    <row r="810" ht="15.75" customHeight="1">
      <c r="A810" s="160"/>
    </row>
    <row r="811" ht="15.75" customHeight="1">
      <c r="A811" s="160"/>
    </row>
    <row r="812" ht="15.75" customHeight="1">
      <c r="A812" s="160"/>
    </row>
    <row r="813" ht="15.75" customHeight="1">
      <c r="A813" s="160"/>
    </row>
    <row r="814" ht="15.75" customHeight="1">
      <c r="A814" s="160"/>
    </row>
    <row r="815" ht="15.75" customHeight="1">
      <c r="A815" s="160"/>
    </row>
    <row r="816" ht="15.75" customHeight="1">
      <c r="A816" s="160"/>
    </row>
    <row r="817" ht="15.75" customHeight="1">
      <c r="A817" s="160"/>
    </row>
    <row r="818" ht="15.75" customHeight="1">
      <c r="A818" s="160"/>
    </row>
    <row r="819" ht="15.75" customHeight="1">
      <c r="A819" s="160"/>
    </row>
    <row r="820" ht="15.75" customHeight="1">
      <c r="A820" s="160"/>
    </row>
    <row r="821" ht="15.75" customHeight="1">
      <c r="A821" s="160"/>
    </row>
    <row r="822" ht="15.75" customHeight="1">
      <c r="A822" s="160"/>
    </row>
    <row r="823" ht="15.75" customHeight="1">
      <c r="A823" s="160"/>
    </row>
    <row r="824" ht="15.75" customHeight="1">
      <c r="A824" s="160"/>
    </row>
    <row r="825" ht="15.75" customHeight="1">
      <c r="A825" s="160"/>
    </row>
    <row r="826" ht="15.75" customHeight="1">
      <c r="A826" s="160"/>
    </row>
    <row r="827" ht="15.75" customHeight="1">
      <c r="A827" s="160"/>
    </row>
    <row r="828" ht="15.75" customHeight="1">
      <c r="A828" s="160"/>
    </row>
    <row r="829" ht="15.75" customHeight="1">
      <c r="A829" s="160"/>
    </row>
    <row r="830" ht="15.75" customHeight="1">
      <c r="A830" s="160"/>
    </row>
    <row r="831" ht="15.75" customHeight="1">
      <c r="A831" s="160"/>
    </row>
    <row r="832" ht="15.75" customHeight="1">
      <c r="A832" s="160"/>
    </row>
    <row r="833" ht="15.75" customHeight="1">
      <c r="A833" s="160"/>
    </row>
    <row r="834" ht="15.75" customHeight="1">
      <c r="A834" s="160"/>
    </row>
    <row r="835" ht="15.75" customHeight="1">
      <c r="A835" s="160"/>
    </row>
    <row r="836" ht="15.75" customHeight="1">
      <c r="A836" s="160"/>
    </row>
    <row r="837" ht="15.75" customHeight="1">
      <c r="A837" s="160"/>
    </row>
    <row r="838" ht="15.75" customHeight="1">
      <c r="A838" s="160"/>
    </row>
    <row r="839" ht="15.75" customHeight="1">
      <c r="A839" s="160"/>
    </row>
    <row r="840" ht="15.75" customHeight="1">
      <c r="A840" s="160"/>
    </row>
    <row r="841" ht="15.75" customHeight="1">
      <c r="A841" s="160"/>
    </row>
    <row r="842" ht="15.75" customHeight="1">
      <c r="A842" s="160"/>
    </row>
    <row r="843" ht="15.75" customHeight="1">
      <c r="A843" s="160"/>
    </row>
    <row r="844" ht="15.75" customHeight="1">
      <c r="A844" s="160"/>
    </row>
    <row r="845" ht="15.75" customHeight="1">
      <c r="A845" s="160"/>
    </row>
    <row r="846" ht="15.75" customHeight="1">
      <c r="A846" s="160"/>
    </row>
    <row r="847" ht="15.75" customHeight="1">
      <c r="A847" s="160"/>
    </row>
    <row r="848" ht="15.75" customHeight="1">
      <c r="A848" s="160"/>
    </row>
    <row r="849" ht="15.75" customHeight="1">
      <c r="A849" s="160"/>
    </row>
    <row r="850" ht="15.75" customHeight="1">
      <c r="A850" s="160"/>
    </row>
    <row r="851" ht="15.75" customHeight="1">
      <c r="A851" s="160"/>
    </row>
    <row r="852" ht="15.75" customHeight="1">
      <c r="A852" s="160"/>
    </row>
    <row r="853" ht="15.75" customHeight="1">
      <c r="A853" s="160"/>
    </row>
    <row r="854" ht="15.75" customHeight="1">
      <c r="A854" s="160"/>
    </row>
    <row r="855" ht="15.75" customHeight="1">
      <c r="A855" s="160"/>
    </row>
    <row r="856" ht="15.75" customHeight="1">
      <c r="A856" s="160"/>
    </row>
    <row r="857" ht="15.75" customHeight="1">
      <c r="A857" s="160"/>
    </row>
    <row r="858" ht="15.75" customHeight="1">
      <c r="A858" s="160"/>
    </row>
    <row r="859" ht="15.75" customHeight="1">
      <c r="A859" s="160"/>
    </row>
    <row r="860" ht="15.75" customHeight="1">
      <c r="A860" s="160"/>
    </row>
    <row r="861" ht="15.75" customHeight="1">
      <c r="A861" s="160"/>
    </row>
    <row r="862" ht="15.75" customHeight="1">
      <c r="A862" s="160"/>
    </row>
    <row r="863" ht="15.75" customHeight="1">
      <c r="A863" s="160"/>
    </row>
    <row r="864" ht="15.75" customHeight="1">
      <c r="A864" s="160"/>
    </row>
    <row r="865" ht="15.75" customHeight="1">
      <c r="A865" s="160"/>
    </row>
    <row r="866" ht="15.75" customHeight="1">
      <c r="A866" s="160"/>
    </row>
    <row r="867" ht="15.75" customHeight="1">
      <c r="A867" s="160"/>
    </row>
    <row r="868" ht="15.75" customHeight="1">
      <c r="A868" s="160"/>
    </row>
    <row r="869" ht="15.75" customHeight="1">
      <c r="A869" s="160"/>
    </row>
    <row r="870" ht="15.75" customHeight="1">
      <c r="A870" s="160"/>
    </row>
    <row r="871" ht="15.75" customHeight="1">
      <c r="A871" s="160"/>
    </row>
    <row r="872" ht="15.75" customHeight="1">
      <c r="A872" s="160"/>
    </row>
    <row r="873" ht="15.75" customHeight="1">
      <c r="A873" s="160"/>
    </row>
    <row r="874" ht="15.75" customHeight="1">
      <c r="A874" s="160"/>
    </row>
    <row r="875" ht="15.75" customHeight="1">
      <c r="A875" s="160"/>
    </row>
    <row r="876" ht="15.75" customHeight="1">
      <c r="A876" s="160"/>
    </row>
    <row r="877" ht="15.75" customHeight="1">
      <c r="A877" s="160"/>
    </row>
    <row r="878" ht="15.75" customHeight="1">
      <c r="A878" s="160"/>
    </row>
    <row r="879" ht="15.75" customHeight="1">
      <c r="A879" s="160"/>
    </row>
    <row r="880" ht="15.75" customHeight="1">
      <c r="A880" s="160"/>
    </row>
    <row r="881" ht="15.75" customHeight="1">
      <c r="A881" s="160"/>
    </row>
    <row r="882" ht="15.75" customHeight="1">
      <c r="A882" s="160"/>
    </row>
    <row r="883" ht="15.75" customHeight="1">
      <c r="A883" s="160"/>
    </row>
    <row r="884" ht="15.75" customHeight="1">
      <c r="A884" s="160"/>
    </row>
    <row r="885" ht="15.75" customHeight="1">
      <c r="A885" s="160"/>
    </row>
    <row r="886" ht="15.75" customHeight="1">
      <c r="A886" s="160"/>
    </row>
    <row r="887" ht="15.75" customHeight="1">
      <c r="A887" s="160"/>
    </row>
    <row r="888" ht="15.75" customHeight="1">
      <c r="A888" s="160"/>
    </row>
    <row r="889" ht="15.75" customHeight="1">
      <c r="A889" s="160"/>
    </row>
    <row r="890" ht="15.75" customHeight="1">
      <c r="A890" s="160"/>
    </row>
    <row r="891" ht="15.75" customHeight="1">
      <c r="A891" s="160"/>
    </row>
    <row r="892" ht="15.75" customHeight="1">
      <c r="A892" s="160"/>
    </row>
    <row r="893" ht="15.75" customHeight="1">
      <c r="A893" s="160"/>
    </row>
    <row r="894" ht="15.75" customHeight="1">
      <c r="A894" s="160"/>
    </row>
    <row r="895" ht="15.75" customHeight="1">
      <c r="A895" s="160"/>
    </row>
    <row r="896" ht="15.75" customHeight="1">
      <c r="A896" s="160"/>
    </row>
    <row r="897" ht="15.75" customHeight="1">
      <c r="A897" s="160"/>
    </row>
    <row r="898" ht="15.75" customHeight="1">
      <c r="A898" s="160"/>
    </row>
    <row r="899" ht="15.75" customHeight="1">
      <c r="A899" s="160"/>
    </row>
    <row r="900" ht="15.75" customHeight="1">
      <c r="A900" s="160"/>
    </row>
    <row r="901" ht="15.75" customHeight="1">
      <c r="A901" s="160"/>
    </row>
    <row r="902" ht="15.75" customHeight="1">
      <c r="A902" s="160"/>
    </row>
    <row r="903" ht="15.75" customHeight="1">
      <c r="A903" s="160"/>
    </row>
    <row r="904" ht="15.75" customHeight="1">
      <c r="A904" s="160"/>
    </row>
    <row r="905" ht="15.75" customHeight="1">
      <c r="A905" s="160"/>
    </row>
    <row r="906" ht="15.75" customHeight="1">
      <c r="A906" s="160"/>
    </row>
    <row r="907" ht="15.75" customHeight="1">
      <c r="A907" s="160"/>
    </row>
    <row r="908" ht="15.75" customHeight="1">
      <c r="A908" s="160"/>
    </row>
    <row r="909" ht="15.75" customHeight="1">
      <c r="A909" s="160"/>
    </row>
    <row r="910" ht="15.75" customHeight="1">
      <c r="A910" s="160"/>
    </row>
    <row r="911" ht="15.75" customHeight="1">
      <c r="A911" s="160"/>
    </row>
    <row r="912" ht="15.75" customHeight="1">
      <c r="A912" s="160"/>
    </row>
    <row r="913" ht="15.75" customHeight="1">
      <c r="A913" s="160"/>
    </row>
    <row r="914" ht="15.75" customHeight="1">
      <c r="A914" s="160"/>
    </row>
    <row r="915" ht="15.75" customHeight="1">
      <c r="A915" s="160"/>
    </row>
    <row r="916" ht="15.75" customHeight="1">
      <c r="A916" s="160"/>
    </row>
    <row r="917" ht="15.75" customHeight="1">
      <c r="A917" s="160"/>
    </row>
    <row r="918" ht="15.75" customHeight="1">
      <c r="A918" s="160"/>
    </row>
    <row r="919" ht="15.75" customHeight="1">
      <c r="A919" s="160"/>
    </row>
    <row r="920" ht="15.75" customHeight="1">
      <c r="A920" s="160"/>
    </row>
    <row r="921" ht="15.75" customHeight="1">
      <c r="A921" s="160"/>
    </row>
    <row r="922" ht="15.75" customHeight="1">
      <c r="A922" s="160"/>
    </row>
    <row r="923" ht="15.75" customHeight="1">
      <c r="A923" s="160"/>
    </row>
    <row r="924" ht="15.75" customHeight="1">
      <c r="A924" s="160"/>
    </row>
    <row r="925" ht="15.75" customHeight="1">
      <c r="A925" s="160"/>
    </row>
    <row r="926" ht="15.75" customHeight="1">
      <c r="A926" s="160"/>
    </row>
    <row r="927" ht="15.75" customHeight="1">
      <c r="A927" s="160"/>
    </row>
    <row r="928" ht="15.75" customHeight="1">
      <c r="A928" s="160"/>
    </row>
    <row r="929" ht="15.75" customHeight="1">
      <c r="A929" s="160"/>
    </row>
    <row r="930" ht="15.75" customHeight="1">
      <c r="A930" s="160"/>
    </row>
    <row r="931" ht="15.75" customHeight="1">
      <c r="A931" s="160"/>
    </row>
    <row r="932" ht="15.75" customHeight="1">
      <c r="A932" s="160"/>
    </row>
    <row r="933" ht="15.75" customHeight="1">
      <c r="A933" s="160"/>
    </row>
    <row r="934" ht="15.75" customHeight="1">
      <c r="A934" s="160"/>
    </row>
    <row r="935" ht="15.75" customHeight="1">
      <c r="A935" s="160"/>
    </row>
    <row r="936" ht="15.75" customHeight="1">
      <c r="A936" s="160"/>
    </row>
    <row r="937" ht="15.75" customHeight="1">
      <c r="A937" s="160"/>
    </row>
    <row r="938" ht="15.75" customHeight="1">
      <c r="A938" s="160"/>
    </row>
    <row r="939" ht="15.75" customHeight="1">
      <c r="A939" s="160"/>
    </row>
    <row r="940" ht="15.75" customHeight="1">
      <c r="A940" s="160"/>
    </row>
    <row r="941" ht="15.75" customHeight="1">
      <c r="A941" s="160"/>
    </row>
    <row r="942" ht="15.75" customHeight="1">
      <c r="A942" s="160"/>
    </row>
    <row r="943" ht="15.75" customHeight="1">
      <c r="A943" s="160"/>
    </row>
    <row r="944" ht="15.75" customHeight="1">
      <c r="A944" s="160"/>
    </row>
    <row r="945" ht="15.75" customHeight="1">
      <c r="A945" s="160"/>
    </row>
    <row r="946" ht="15.75" customHeight="1">
      <c r="A946" s="160"/>
    </row>
    <row r="947" ht="15.75" customHeight="1">
      <c r="A947" s="160"/>
    </row>
    <row r="948" ht="15.75" customHeight="1">
      <c r="A948" s="160"/>
    </row>
    <row r="949" ht="15.75" customHeight="1">
      <c r="A949" s="160"/>
    </row>
    <row r="950" ht="15.75" customHeight="1">
      <c r="A950" s="160"/>
    </row>
    <row r="951" ht="15.75" customHeight="1">
      <c r="A951" s="160"/>
    </row>
    <row r="952" ht="15.75" customHeight="1">
      <c r="A952" s="160"/>
    </row>
    <row r="953" ht="15.75" customHeight="1">
      <c r="A953" s="160"/>
    </row>
    <row r="954" ht="15.75" customHeight="1">
      <c r="A954" s="160"/>
    </row>
    <row r="955" ht="15.75" customHeight="1">
      <c r="A955" s="160"/>
    </row>
    <row r="956" ht="15.75" customHeight="1">
      <c r="A956" s="160"/>
    </row>
    <row r="957" ht="15.75" customHeight="1">
      <c r="A957" s="160"/>
    </row>
    <row r="958" ht="15.75" customHeight="1">
      <c r="A958" s="160"/>
    </row>
    <row r="959" ht="15.75" customHeight="1">
      <c r="A959" s="160"/>
    </row>
    <row r="960" ht="15.75" customHeight="1">
      <c r="A960" s="160"/>
    </row>
    <row r="961" ht="15.75" customHeight="1">
      <c r="A961" s="160"/>
    </row>
    <row r="962" ht="15.75" customHeight="1">
      <c r="A962" s="160"/>
    </row>
    <row r="963" ht="15.75" customHeight="1">
      <c r="A963" s="160"/>
    </row>
    <row r="964" ht="15.75" customHeight="1">
      <c r="A964" s="160"/>
    </row>
    <row r="965" ht="15.75" customHeight="1">
      <c r="A965" s="160"/>
    </row>
    <row r="966" ht="15.75" customHeight="1">
      <c r="A966" s="160"/>
    </row>
    <row r="967" ht="15.75" customHeight="1">
      <c r="A967" s="160"/>
    </row>
    <row r="968" ht="15.75" customHeight="1">
      <c r="A968" s="160"/>
    </row>
    <row r="969" ht="15.75" customHeight="1">
      <c r="A969" s="160"/>
    </row>
    <row r="970" ht="15.75" customHeight="1">
      <c r="A970" s="160"/>
    </row>
    <row r="971" ht="15.75" customHeight="1">
      <c r="A971" s="160"/>
    </row>
    <row r="972" ht="15.75" customHeight="1">
      <c r="A972" s="160"/>
    </row>
    <row r="973" ht="15.75" customHeight="1">
      <c r="A973" s="160"/>
    </row>
    <row r="974" ht="15.75" customHeight="1">
      <c r="A974" s="160"/>
    </row>
    <row r="975" ht="15.75" customHeight="1">
      <c r="A975" s="160"/>
    </row>
    <row r="976" ht="15.75" customHeight="1">
      <c r="A976" s="160"/>
    </row>
    <row r="977" ht="15.75" customHeight="1">
      <c r="A977" s="160"/>
    </row>
    <row r="978" ht="15.75" customHeight="1">
      <c r="A978" s="160"/>
    </row>
    <row r="979" ht="15.75" customHeight="1">
      <c r="A979" s="160"/>
    </row>
    <row r="980" ht="15.75" customHeight="1">
      <c r="A980" s="160"/>
    </row>
    <row r="981" ht="15.75" customHeight="1">
      <c r="A981" s="160"/>
    </row>
    <row r="982" ht="15.75" customHeight="1">
      <c r="A982" s="160"/>
    </row>
    <row r="983" ht="15.75" customHeight="1">
      <c r="A983" s="160"/>
    </row>
    <row r="984" ht="15.75" customHeight="1">
      <c r="A984" s="160"/>
    </row>
    <row r="985" ht="15.75" customHeight="1">
      <c r="A985" s="160"/>
    </row>
    <row r="986" ht="15.75" customHeight="1">
      <c r="A986" s="160"/>
    </row>
    <row r="987" ht="15.75" customHeight="1">
      <c r="A987" s="160"/>
    </row>
    <row r="988" ht="15.75" customHeight="1">
      <c r="A988" s="160"/>
    </row>
    <row r="989" ht="15.75" customHeight="1">
      <c r="A989" s="160"/>
    </row>
    <row r="990" ht="15.75" customHeight="1">
      <c r="A990" s="160"/>
    </row>
    <row r="991" ht="15.75" customHeight="1">
      <c r="A991" s="160"/>
    </row>
    <row r="992" ht="15.75" customHeight="1">
      <c r="A992" s="160"/>
    </row>
    <row r="993" ht="15.75" customHeight="1">
      <c r="A993" s="160"/>
    </row>
    <row r="994" ht="15.75" customHeight="1">
      <c r="A994" s="160"/>
    </row>
    <row r="995" ht="15.75" customHeight="1">
      <c r="A995" s="160"/>
    </row>
    <row r="996" ht="15.75" customHeight="1">
      <c r="A996" s="160"/>
    </row>
    <row r="997" ht="15.75" customHeight="1">
      <c r="A997" s="160"/>
    </row>
    <row r="998" ht="15.75" customHeight="1">
      <c r="A998" s="160"/>
    </row>
    <row r="999" ht="15.75" customHeight="1">
      <c r="A999" s="160"/>
    </row>
    <row r="1000" ht="15.75" customHeight="1">
      <c r="A1000" s="160"/>
    </row>
  </sheetData>
  <drawing r:id="rId1"/>
</worksheet>
</file>